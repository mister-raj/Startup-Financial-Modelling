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J\Ednovate\Maketing\SP Jain\Assignment\"/>
    </mc:Choice>
  </mc:AlternateContent>
  <xr:revisionPtr revIDLastSave="0" documentId="13_ncr:1_{192416D8-FC17-4272-B7FC-CE689DDAD040}" xr6:coauthVersionLast="47" xr6:coauthVersionMax="47" xr10:uidLastSave="{00000000-0000-0000-0000-000000000000}"/>
  <bookViews>
    <workbookView xWindow="-110" yWindow="-110" windowWidth="19420" windowHeight="11500" tabRatio="881" xr2:uid="{00000000-000D-0000-FFFF-FFFF00000000}"/>
  </bookViews>
  <sheets>
    <sheet name="Assumption Sheet" sheetId="22" r:id="rId1"/>
    <sheet name="Revenue_Sales Assumptions" sheetId="55" r:id="rId2"/>
    <sheet name="Profit&amp;Loss" sheetId="56" r:id="rId3"/>
    <sheet name="Balance Sheet" sheetId="2" r:id="rId4"/>
    <sheet name="CFS" sheetId="17" r:id="rId5"/>
    <sheet name="WC" sheetId="58" r:id="rId6"/>
    <sheet name="Depreciation Sch" sheetId="16" r:id="rId7"/>
    <sheet name="Loans Breakdown" sheetId="25" r:id="rId8"/>
    <sheet name="Historical P&amp;L" sheetId="1" state="hidden" r:id="rId9"/>
    <sheet name="Historical Metrics" sheetId="44" state="hidden" r:id="rId10"/>
    <sheet name="Valuation_Market Multiple" sheetId="34" r:id="rId11"/>
    <sheet name="Val_DCF" sheetId="33" r:id="rId12"/>
    <sheet name="Weighted Average Valuation" sheetId="57" r:id="rId13"/>
    <sheet name="Sheet1" sheetId="54" state="hidden" r:id="rId14"/>
    <sheet name="Districtwise_Rajasthan farmers" sheetId="40" state="hidden" r:id="rId15"/>
    <sheet name="Statewise_Agri Data (2)" sheetId="45" state="hidden" r:id="rId16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3" l="1"/>
  <c r="I19" i="33"/>
  <c r="E10" i="55"/>
  <c r="F10" i="55" s="1"/>
  <c r="G10" i="55" s="1"/>
  <c r="H10" i="55" s="1"/>
  <c r="I10" i="55" s="1"/>
  <c r="E8" i="55"/>
  <c r="F8" i="55" s="1"/>
  <c r="G8" i="55" s="1"/>
  <c r="H8" i="55" s="1"/>
  <c r="I8" i="55" s="1"/>
  <c r="E6" i="55"/>
  <c r="F6" i="55" s="1"/>
  <c r="I7" i="55"/>
  <c r="H7" i="55"/>
  <c r="G7" i="55"/>
  <c r="F7" i="55"/>
  <c r="D11" i="55"/>
  <c r="D9" i="55"/>
  <c r="D7" i="55"/>
  <c r="D5" i="55"/>
  <c r="E5" i="55" s="1"/>
  <c r="C12" i="55"/>
  <c r="E6" i="2"/>
  <c r="F6" i="2"/>
  <c r="G6" i="2"/>
  <c r="H6" i="2"/>
  <c r="I6" i="2"/>
  <c r="C11" i="16"/>
  <c r="E11" i="16"/>
  <c r="F11" i="16"/>
  <c r="E12" i="16"/>
  <c r="F12" i="16"/>
  <c r="F13" i="16"/>
  <c r="E5" i="16"/>
  <c r="F5" i="16"/>
  <c r="E6" i="16"/>
  <c r="F6" i="16"/>
  <c r="E7" i="16"/>
  <c r="F7" i="16"/>
  <c r="E8" i="16"/>
  <c r="F8" i="16"/>
  <c r="F9" i="16"/>
  <c r="F14" i="16"/>
  <c r="F16" i="16"/>
  <c r="C33" i="56"/>
  <c r="D4" i="58"/>
  <c r="C14" i="56"/>
  <c r="C15" i="56"/>
  <c r="C19" i="56"/>
  <c r="C20" i="56"/>
  <c r="C21" i="56"/>
  <c r="C22" i="56"/>
  <c r="C23" i="56"/>
  <c r="C24" i="56"/>
  <c r="C25" i="56"/>
  <c r="C26" i="56"/>
  <c r="F16" i="22"/>
  <c r="C28" i="56"/>
  <c r="F53" i="22"/>
  <c r="F54" i="22"/>
  <c r="F55" i="22"/>
  <c r="F56" i="22"/>
  <c r="F57" i="22"/>
  <c r="F58" i="22"/>
  <c r="F59" i="22"/>
  <c r="F60" i="22"/>
  <c r="F61" i="22"/>
  <c r="C29" i="56"/>
  <c r="G11" i="16"/>
  <c r="H11" i="16"/>
  <c r="I11" i="16"/>
  <c r="G12" i="16"/>
  <c r="H12" i="16"/>
  <c r="I12" i="16"/>
  <c r="I13" i="16"/>
  <c r="H5" i="16"/>
  <c r="I5" i="16"/>
  <c r="G6" i="16"/>
  <c r="H6" i="16"/>
  <c r="I6" i="16"/>
  <c r="G7" i="16"/>
  <c r="H7" i="16"/>
  <c r="I7" i="16"/>
  <c r="G8" i="16"/>
  <c r="H8" i="16"/>
  <c r="I8" i="16"/>
  <c r="I9" i="16"/>
  <c r="I14" i="16"/>
  <c r="I16" i="16"/>
  <c r="D33" i="56"/>
  <c r="E4" i="58"/>
  <c r="D14" i="56"/>
  <c r="D15" i="56"/>
  <c r="G19" i="22"/>
  <c r="D19" i="56"/>
  <c r="G20" i="22"/>
  <c r="D20" i="56"/>
  <c r="G21" i="22"/>
  <c r="D21" i="56"/>
  <c r="G22" i="22"/>
  <c r="D22" i="56"/>
  <c r="G23" i="22"/>
  <c r="D23" i="56"/>
  <c r="G24" i="22"/>
  <c r="D24" i="56"/>
  <c r="G25" i="22"/>
  <c r="D25" i="56"/>
  <c r="G26" i="22"/>
  <c r="D26" i="56"/>
  <c r="G16" i="22"/>
  <c r="D28" i="56"/>
  <c r="G53" i="22"/>
  <c r="G54" i="22"/>
  <c r="G55" i="22"/>
  <c r="G56" i="22"/>
  <c r="G57" i="22"/>
  <c r="G58" i="22"/>
  <c r="G59" i="22"/>
  <c r="G60" i="22"/>
  <c r="G61" i="22"/>
  <c r="D29" i="56"/>
  <c r="J11" i="16"/>
  <c r="K11" i="16"/>
  <c r="L11" i="16"/>
  <c r="J12" i="16"/>
  <c r="K12" i="16"/>
  <c r="L12" i="16"/>
  <c r="L13" i="16"/>
  <c r="J5" i="16"/>
  <c r="K5" i="16"/>
  <c r="L5" i="16"/>
  <c r="J6" i="16"/>
  <c r="K6" i="16"/>
  <c r="L6" i="16"/>
  <c r="J7" i="16"/>
  <c r="K7" i="16"/>
  <c r="L7" i="16"/>
  <c r="J8" i="16"/>
  <c r="K8" i="16"/>
  <c r="L8" i="16"/>
  <c r="L9" i="16"/>
  <c r="L14" i="16"/>
  <c r="L16" i="16"/>
  <c r="E33" i="56"/>
  <c r="H66" i="22"/>
  <c r="F4" i="58"/>
  <c r="E14" i="56"/>
  <c r="E15" i="56"/>
  <c r="H19" i="22"/>
  <c r="E19" i="56"/>
  <c r="H20" i="22"/>
  <c r="E20" i="56"/>
  <c r="H21" i="22"/>
  <c r="E21" i="56"/>
  <c r="H22" i="22"/>
  <c r="E22" i="56"/>
  <c r="H23" i="22"/>
  <c r="E23" i="56"/>
  <c r="H24" i="22"/>
  <c r="E24" i="56"/>
  <c r="H25" i="22"/>
  <c r="E25" i="56"/>
  <c r="H26" i="22"/>
  <c r="E26" i="56"/>
  <c r="H16" i="22"/>
  <c r="E28" i="56"/>
  <c r="H53" i="22"/>
  <c r="H54" i="22"/>
  <c r="H55" i="22"/>
  <c r="H56" i="22"/>
  <c r="H57" i="22"/>
  <c r="H58" i="22"/>
  <c r="H59" i="22"/>
  <c r="H60" i="22"/>
  <c r="H61" i="22"/>
  <c r="E29" i="56"/>
  <c r="M11" i="16"/>
  <c r="N11" i="16"/>
  <c r="O11" i="16"/>
  <c r="M12" i="16"/>
  <c r="N12" i="16"/>
  <c r="O12" i="16"/>
  <c r="O13" i="16"/>
  <c r="M5" i="16"/>
  <c r="N5" i="16"/>
  <c r="O5" i="16"/>
  <c r="M6" i="16"/>
  <c r="N6" i="16"/>
  <c r="O6" i="16"/>
  <c r="M7" i="16"/>
  <c r="N7" i="16"/>
  <c r="O7" i="16"/>
  <c r="M8" i="16"/>
  <c r="N8" i="16"/>
  <c r="O8" i="16"/>
  <c r="O9" i="16"/>
  <c r="O14" i="16"/>
  <c r="O16" i="16"/>
  <c r="F33" i="56"/>
  <c r="I66" i="22"/>
  <c r="G4" i="58"/>
  <c r="F14" i="56"/>
  <c r="F15" i="56"/>
  <c r="I19" i="22"/>
  <c r="F19" i="56"/>
  <c r="I20" i="22"/>
  <c r="F20" i="56"/>
  <c r="I21" i="22"/>
  <c r="F21" i="56"/>
  <c r="I22" i="22"/>
  <c r="F22" i="56"/>
  <c r="I23" i="22"/>
  <c r="F23" i="56"/>
  <c r="I24" i="22"/>
  <c r="F24" i="56"/>
  <c r="I25" i="22"/>
  <c r="F25" i="56"/>
  <c r="I26" i="22"/>
  <c r="F26" i="56"/>
  <c r="I16" i="22"/>
  <c r="F28" i="56"/>
  <c r="I53" i="22"/>
  <c r="I54" i="22"/>
  <c r="I55" i="22"/>
  <c r="I56" i="22"/>
  <c r="I57" i="22"/>
  <c r="I58" i="22"/>
  <c r="I59" i="22"/>
  <c r="I60" i="22"/>
  <c r="I61" i="22"/>
  <c r="F29" i="56"/>
  <c r="P11" i="16"/>
  <c r="Q11" i="16"/>
  <c r="R11" i="16"/>
  <c r="P12" i="16"/>
  <c r="Q12" i="16"/>
  <c r="R12" i="16"/>
  <c r="R13" i="16"/>
  <c r="P5" i="16"/>
  <c r="Q5" i="16"/>
  <c r="R5" i="16"/>
  <c r="P6" i="16"/>
  <c r="Q6" i="16"/>
  <c r="R6" i="16"/>
  <c r="P7" i="16"/>
  <c r="Q7" i="16"/>
  <c r="R7" i="16"/>
  <c r="P8" i="16"/>
  <c r="Q8" i="16"/>
  <c r="R8" i="16"/>
  <c r="R9" i="16"/>
  <c r="R14" i="16"/>
  <c r="R16" i="16"/>
  <c r="G33" i="56"/>
  <c r="J66" i="22"/>
  <c r="H4" i="58"/>
  <c r="G14" i="56"/>
  <c r="G15" i="56"/>
  <c r="J19" i="22"/>
  <c r="G19" i="56"/>
  <c r="J20" i="22"/>
  <c r="G20" i="56"/>
  <c r="J21" i="22"/>
  <c r="G21" i="56"/>
  <c r="J22" i="22"/>
  <c r="G22" i="56"/>
  <c r="J23" i="22"/>
  <c r="G23" i="56"/>
  <c r="J24" i="22"/>
  <c r="G24" i="56"/>
  <c r="J25" i="22"/>
  <c r="G25" i="56"/>
  <c r="J26" i="22"/>
  <c r="G26" i="56"/>
  <c r="J16" i="22"/>
  <c r="G28" i="56"/>
  <c r="J53" i="22"/>
  <c r="J54" i="22"/>
  <c r="J55" i="22"/>
  <c r="J56" i="22"/>
  <c r="J57" i="22"/>
  <c r="J58" i="22"/>
  <c r="J59" i="22"/>
  <c r="J60" i="22"/>
  <c r="J61" i="22"/>
  <c r="G29" i="56"/>
  <c r="H6" i="58"/>
  <c r="I33" i="2"/>
  <c r="G6" i="58"/>
  <c r="H33" i="2"/>
  <c r="F6" i="58"/>
  <c r="G33" i="2"/>
  <c r="E6" i="58"/>
  <c r="F33" i="2"/>
  <c r="D6" i="58"/>
  <c r="E33" i="2"/>
  <c r="I67" i="22"/>
  <c r="I31" i="2"/>
  <c r="H31" i="2"/>
  <c r="G31" i="2"/>
  <c r="F31" i="2"/>
  <c r="E31" i="2"/>
  <c r="D31" i="2"/>
  <c r="D32" i="2"/>
  <c r="D33" i="2"/>
  <c r="B19" i="56"/>
  <c r="B20" i="56"/>
  <c r="B21" i="56"/>
  <c r="B22" i="56"/>
  <c r="B23" i="56"/>
  <c r="B24" i="56"/>
  <c r="B25" i="56"/>
  <c r="B26" i="56"/>
  <c r="B27" i="56"/>
  <c r="E16" i="22"/>
  <c r="B28" i="56"/>
  <c r="E61" i="22"/>
  <c r="B29" i="56"/>
  <c r="B30" i="56"/>
  <c r="I15" i="2"/>
  <c r="H15" i="2"/>
  <c r="G15" i="2"/>
  <c r="F15" i="2"/>
  <c r="E15" i="2"/>
  <c r="I10" i="2"/>
  <c r="H10" i="2"/>
  <c r="G10" i="2"/>
  <c r="F10" i="2"/>
  <c r="E10" i="2"/>
  <c r="G36" i="56"/>
  <c r="I14" i="2"/>
  <c r="H14" i="2"/>
  <c r="G14" i="17"/>
  <c r="G12" i="17"/>
  <c r="G13" i="17"/>
  <c r="F15" i="25"/>
  <c r="F36" i="56"/>
  <c r="G14" i="2"/>
  <c r="F14" i="17"/>
  <c r="F12" i="17"/>
  <c r="F13" i="17"/>
  <c r="E15" i="25"/>
  <c r="E36" i="56"/>
  <c r="F14" i="2"/>
  <c r="E14" i="17"/>
  <c r="E12" i="17"/>
  <c r="E13" i="17"/>
  <c r="D15" i="25"/>
  <c r="D36" i="56"/>
  <c r="E14" i="2"/>
  <c r="D14" i="17"/>
  <c r="C15" i="25"/>
  <c r="C36" i="56"/>
  <c r="D14" i="2"/>
  <c r="C14" i="17"/>
  <c r="D29" i="2"/>
  <c r="D23" i="2"/>
  <c r="D36" i="2"/>
  <c r="S12" i="16"/>
  <c r="D13" i="17"/>
  <c r="C13" i="17"/>
  <c r="B15" i="56"/>
  <c r="Q9" i="16"/>
  <c r="Q13" i="16"/>
  <c r="Q14" i="16"/>
  <c r="G17" i="17"/>
  <c r="N9" i="16"/>
  <c r="N13" i="16"/>
  <c r="N14" i="16"/>
  <c r="F17" i="17"/>
  <c r="K9" i="16"/>
  <c r="K13" i="16"/>
  <c r="K14" i="16"/>
  <c r="E17" i="17"/>
  <c r="H9" i="16"/>
  <c r="H13" i="16"/>
  <c r="H14" i="16"/>
  <c r="D17" i="17"/>
  <c r="E9" i="16"/>
  <c r="E13" i="16"/>
  <c r="E14" i="16"/>
  <c r="C17" i="17"/>
  <c r="B15" i="25"/>
  <c r="B36" i="56"/>
  <c r="C52" i="25"/>
  <c r="C27" i="25"/>
  <c r="C39" i="25"/>
  <c r="C40" i="25"/>
  <c r="C53" i="25"/>
  <c r="B52" i="25"/>
  <c r="B27" i="25"/>
  <c r="B39" i="25"/>
  <c r="B40" i="25"/>
  <c r="B53" i="25"/>
  <c r="E46" i="25"/>
  <c r="E47" i="25"/>
  <c r="E48" i="25"/>
  <c r="E49" i="25"/>
  <c r="E50" i="25"/>
  <c r="E51" i="25"/>
  <c r="D51" i="25"/>
  <c r="D50" i="25"/>
  <c r="D49" i="25"/>
  <c r="D48" i="25"/>
  <c r="D47" i="25"/>
  <c r="D46" i="25"/>
  <c r="F59" i="25"/>
  <c r="F60" i="25"/>
  <c r="F14" i="25"/>
  <c r="E59" i="25"/>
  <c r="E60" i="25"/>
  <c r="E14" i="25"/>
  <c r="D59" i="25"/>
  <c r="D60" i="25"/>
  <c r="D14" i="25"/>
  <c r="C59" i="25"/>
  <c r="C60" i="25"/>
  <c r="C14" i="25"/>
  <c r="B59" i="25"/>
  <c r="B60" i="25"/>
  <c r="B14" i="25"/>
  <c r="F8" i="25"/>
  <c r="E8" i="25"/>
  <c r="G12" i="56"/>
  <c r="F12" i="56"/>
  <c r="E12" i="56"/>
  <c r="D12" i="56"/>
  <c r="C12" i="56"/>
  <c r="B12" i="56"/>
  <c r="E41" i="22"/>
  <c r="F41" i="22"/>
  <c r="G41" i="22"/>
  <c r="H41" i="22"/>
  <c r="I41" i="22"/>
  <c r="J41" i="22"/>
  <c r="B33" i="56"/>
  <c r="E17" i="33"/>
  <c r="J14" i="33"/>
  <c r="I14" i="33"/>
  <c r="H14" i="33"/>
  <c r="G14" i="33"/>
  <c r="F14" i="33"/>
  <c r="E14" i="33"/>
  <c r="B7" i="17"/>
  <c r="C24" i="17"/>
  <c r="I42" i="2"/>
  <c r="H42" i="2"/>
  <c r="G42" i="2"/>
  <c r="F42" i="2"/>
  <c r="E42" i="2"/>
  <c r="D41" i="2"/>
  <c r="D42" i="2"/>
  <c r="D43" i="2"/>
  <c r="I9" i="2"/>
  <c r="H9" i="2"/>
  <c r="G9" i="2"/>
  <c r="F9" i="2"/>
  <c r="E9" i="2"/>
  <c r="D5" i="2"/>
  <c r="D9" i="2"/>
  <c r="D20" i="2"/>
  <c r="D38" i="2"/>
  <c r="I28" i="2"/>
  <c r="H28" i="2"/>
  <c r="G28" i="2"/>
  <c r="F28" i="2"/>
  <c r="E28" i="2"/>
  <c r="I26" i="2"/>
  <c r="H26" i="2"/>
  <c r="G26" i="2"/>
  <c r="F26" i="2"/>
  <c r="E26" i="2"/>
  <c r="E50" i="55"/>
  <c r="F50" i="55"/>
  <c r="G50" i="55"/>
  <c r="H50" i="55"/>
  <c r="I50" i="55"/>
  <c r="E33" i="55"/>
  <c r="F33" i="55"/>
  <c r="G33" i="55"/>
  <c r="H33" i="55"/>
  <c r="I33" i="55"/>
  <c r="D25" i="55"/>
  <c r="E20" i="55"/>
  <c r="F20" i="55"/>
  <c r="G20" i="55"/>
  <c r="H20" i="55"/>
  <c r="I20" i="55"/>
  <c r="I25" i="55" s="1"/>
  <c r="E21" i="55"/>
  <c r="E25" i="55" s="1"/>
  <c r="F21" i="55"/>
  <c r="G21" i="55"/>
  <c r="H21" i="55"/>
  <c r="I21" i="55"/>
  <c r="E22" i="55"/>
  <c r="F22" i="55"/>
  <c r="G22" i="55"/>
  <c r="H22" i="55"/>
  <c r="I22" i="55"/>
  <c r="E23" i="55"/>
  <c r="F23" i="55"/>
  <c r="F25" i="55" s="1"/>
  <c r="G23" i="55"/>
  <c r="H23" i="55"/>
  <c r="I23" i="55"/>
  <c r="E24" i="55"/>
  <c r="F24" i="55"/>
  <c r="G24" i="55"/>
  <c r="G25" i="55" s="1"/>
  <c r="H24" i="55"/>
  <c r="I24" i="55"/>
  <c r="H25" i="55"/>
  <c r="E42" i="55"/>
  <c r="F42" i="55"/>
  <c r="G42" i="55"/>
  <c r="H42" i="55"/>
  <c r="I42" i="55"/>
  <c r="E66" i="22"/>
  <c r="E67" i="22"/>
  <c r="E68" i="22"/>
  <c r="H69" i="22"/>
  <c r="I69" i="22"/>
  <c r="J69" i="22"/>
  <c r="E33" i="25"/>
  <c r="E21" i="25"/>
  <c r="K9" i="34"/>
  <c r="K8" i="34"/>
  <c r="K7" i="34"/>
  <c r="E19" i="33"/>
  <c r="R14" i="54"/>
  <c r="Q14" i="54"/>
  <c r="P19" i="54"/>
  <c r="D53" i="45"/>
  <c r="C53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G33" i="44"/>
  <c r="E33" i="44"/>
  <c r="G32" i="44"/>
  <c r="E32" i="44"/>
  <c r="G31" i="44"/>
  <c r="H11" i="44"/>
  <c r="G30" i="44"/>
  <c r="H10" i="44"/>
  <c r="E31" i="44"/>
  <c r="F18" i="44"/>
  <c r="E30" i="44"/>
  <c r="F17" i="44"/>
  <c r="H28" i="44"/>
  <c r="H27" i="44"/>
  <c r="H26" i="44"/>
  <c r="E13" i="45"/>
  <c r="M9" i="45"/>
  <c r="L9" i="45"/>
  <c r="K9" i="45"/>
  <c r="J9" i="45"/>
  <c r="H9" i="45"/>
  <c r="D9" i="45"/>
  <c r="G8" i="45"/>
  <c r="C8" i="45"/>
  <c r="G7" i="45"/>
  <c r="E7" i="45"/>
  <c r="G6" i="45"/>
  <c r="E6" i="45"/>
  <c r="E5" i="45"/>
  <c r="E9" i="45"/>
  <c r="C5" i="45"/>
  <c r="E3" i="45"/>
  <c r="G23" i="44"/>
  <c r="E23" i="44"/>
  <c r="G21" i="44"/>
  <c r="E21" i="44"/>
  <c r="G20" i="44"/>
  <c r="E20" i="44"/>
  <c r="G19" i="44"/>
  <c r="E19" i="44"/>
  <c r="I18" i="44"/>
  <c r="I17" i="44"/>
  <c r="G13" i="44"/>
  <c r="E13" i="44"/>
  <c r="D13" i="44"/>
  <c r="C13" i="44"/>
  <c r="G12" i="44"/>
  <c r="E12" i="44"/>
  <c r="D12" i="44"/>
  <c r="C12" i="44"/>
  <c r="I11" i="44"/>
  <c r="I10" i="44"/>
  <c r="G7" i="44"/>
  <c r="H6" i="44"/>
  <c r="E7" i="44"/>
  <c r="F6" i="44"/>
  <c r="D7" i="44"/>
  <c r="C7" i="44"/>
  <c r="I6" i="44"/>
  <c r="I20" i="44"/>
  <c r="I5" i="44"/>
  <c r="I12" i="44"/>
  <c r="I19" i="44"/>
  <c r="F10" i="44"/>
  <c r="H18" i="44"/>
  <c r="I31" i="44"/>
  <c r="J18" i="44"/>
  <c r="G9" i="45"/>
  <c r="H5" i="44"/>
  <c r="I33" i="44"/>
  <c r="I13" i="44"/>
  <c r="E34" i="44"/>
  <c r="G34" i="44"/>
  <c r="F11" i="44"/>
  <c r="H17" i="44"/>
  <c r="F5" i="44"/>
  <c r="I30" i="44"/>
  <c r="I7" i="44"/>
  <c r="J6" i="44"/>
  <c r="I21" i="44"/>
  <c r="I22" i="44"/>
  <c r="I23" i="44"/>
  <c r="J5" i="44"/>
  <c r="J11" i="44"/>
  <c r="I34" i="44"/>
  <c r="J17" i="44"/>
  <c r="J10" i="44"/>
  <c r="E6" i="40"/>
  <c r="D32" i="40"/>
  <c r="H32" i="40"/>
  <c r="C32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D37" i="33"/>
  <c r="N37" i="33"/>
  <c r="N41" i="33"/>
  <c r="R33" i="33"/>
  <c r="R36" i="33"/>
  <c r="R32" i="33"/>
  <c r="D34" i="25"/>
  <c r="D21" i="25"/>
  <c r="D22" i="25"/>
  <c r="D23" i="25"/>
  <c r="D24" i="25"/>
  <c r="D25" i="25"/>
  <c r="D26" i="25"/>
  <c r="E22" i="25"/>
  <c r="E23" i="25"/>
  <c r="E24" i="25"/>
  <c r="E25" i="25"/>
  <c r="E26" i="25"/>
  <c r="D8" i="25"/>
  <c r="C6" i="1"/>
  <c r="B1" i="22"/>
  <c r="C11" i="1"/>
  <c r="C21" i="1"/>
  <c r="C8" i="1"/>
  <c r="C12" i="1"/>
  <c r="D18" i="1"/>
  <c r="D15" i="1"/>
  <c r="E21" i="1"/>
  <c r="D21" i="1"/>
  <c r="E18" i="1"/>
  <c r="D17" i="16"/>
  <c r="C9" i="16"/>
  <c r="C14" i="16"/>
  <c r="C16" i="16"/>
  <c r="E8" i="1"/>
  <c r="E12" i="1"/>
  <c r="D8" i="1"/>
  <c r="D19" i="1"/>
  <c r="C8" i="25"/>
  <c r="D36" i="25"/>
  <c r="D27" i="25"/>
  <c r="K4" i="34"/>
  <c r="K5" i="34"/>
  <c r="K10" i="34"/>
  <c r="E20" i="1"/>
  <c r="E14" i="1"/>
  <c r="E16" i="1"/>
  <c r="C14" i="1"/>
  <c r="C16" i="1"/>
  <c r="C20" i="1"/>
  <c r="D12" i="1"/>
  <c r="D20" i="1"/>
  <c r="E19" i="1"/>
  <c r="D38" i="25"/>
  <c r="G32" i="40"/>
  <c r="E32" i="40"/>
  <c r="C19" i="1"/>
  <c r="K6" i="34"/>
  <c r="D35" i="25"/>
  <c r="E34" i="25"/>
  <c r="E35" i="25"/>
  <c r="E36" i="25"/>
  <c r="E37" i="25"/>
  <c r="E38" i="25"/>
  <c r="E18" i="33"/>
  <c r="D18" i="33"/>
  <c r="D41" i="33"/>
  <c r="B8" i="25"/>
  <c r="D33" i="25"/>
  <c r="D19" i="33"/>
  <c r="D14" i="1"/>
  <c r="D16" i="1"/>
  <c r="D37" i="25"/>
  <c r="R39" i="33"/>
  <c r="J28" i="33"/>
  <c r="I28" i="33"/>
  <c r="G28" i="33"/>
  <c r="F28" i="33"/>
  <c r="H28" i="33"/>
  <c r="H34" i="33"/>
  <c r="D20" i="33"/>
  <c r="G81" i="22"/>
  <c r="F81" i="22"/>
  <c r="G22" i="33"/>
  <c r="H17" i="16"/>
  <c r="J9" i="16"/>
  <c r="G9" i="16"/>
  <c r="E17" i="16"/>
  <c r="S8" i="16"/>
  <c r="K17" i="16"/>
  <c r="H81" i="22"/>
  <c r="N17" i="16"/>
  <c r="I81" i="22"/>
  <c r="F22" i="33"/>
  <c r="Q17" i="16"/>
  <c r="J81" i="22"/>
  <c r="I22" i="33"/>
  <c r="H22" i="33"/>
  <c r="C15" i="33"/>
  <c r="C24" i="33"/>
  <c r="D15" i="33"/>
  <c r="D24" i="33"/>
  <c r="J22" i="33"/>
  <c r="S7" i="16"/>
  <c r="M9" i="16"/>
  <c r="S5" i="16"/>
  <c r="P9" i="16"/>
  <c r="S6" i="16"/>
  <c r="S9" i="16"/>
  <c r="F19" i="33"/>
  <c r="G19" i="33"/>
  <c r="H19" i="33"/>
  <c r="R41" i="33"/>
  <c r="R42" i="33"/>
  <c r="K11" i="34"/>
  <c r="K22" i="34"/>
  <c r="K24" i="34"/>
  <c r="K25" i="34"/>
  <c r="C12" i="17"/>
  <c r="D12" i="17"/>
  <c r="G7" i="17"/>
  <c r="G21" i="17"/>
  <c r="F7" i="17"/>
  <c r="F21" i="17"/>
  <c r="E7" i="17"/>
  <c r="E21" i="17"/>
  <c r="D7" i="17"/>
  <c r="D21" i="17"/>
  <c r="G13" i="16"/>
  <c r="G14" i="16"/>
  <c r="G18" i="16"/>
  <c r="J13" i="16"/>
  <c r="J14" i="16"/>
  <c r="J18" i="16"/>
  <c r="G17" i="33"/>
  <c r="G18" i="33"/>
  <c r="M13" i="16"/>
  <c r="M14" i="16"/>
  <c r="M18" i="16"/>
  <c r="H17" i="33"/>
  <c r="H18" i="33"/>
  <c r="I17" i="33"/>
  <c r="I18" i="33"/>
  <c r="P13" i="16"/>
  <c r="P14" i="16"/>
  <c r="P18" i="16"/>
  <c r="S11" i="16"/>
  <c r="S13" i="16"/>
  <c r="S14" i="16"/>
  <c r="S18" i="16"/>
  <c r="J17" i="33"/>
  <c r="J18" i="33"/>
  <c r="F17" i="33"/>
  <c r="F18" i="33"/>
  <c r="C7" i="17"/>
  <c r="C21" i="17"/>
  <c r="E23" i="2"/>
  <c r="F23" i="2"/>
  <c r="G23" i="2"/>
  <c r="H23" i="2"/>
  <c r="I23" i="2"/>
  <c r="D12" i="55" l="1"/>
  <c r="B4" i="56" s="1"/>
  <c r="B6" i="56" s="1"/>
  <c r="E8" i="33" s="1"/>
  <c r="G6" i="55"/>
  <c r="F12" i="55"/>
  <c r="E12" i="55"/>
  <c r="E4" i="55"/>
  <c r="F5" i="55"/>
  <c r="H5" i="55" s="1"/>
  <c r="B16" i="56" l="1"/>
  <c r="B31" i="56" s="1"/>
  <c r="F4" i="55"/>
  <c r="G4" i="55" s="1"/>
  <c r="H4" i="55" s="1"/>
  <c r="I4" i="55" s="1"/>
  <c r="F13" i="55"/>
  <c r="D4" i="56"/>
  <c r="G12" i="55"/>
  <c r="H6" i="55"/>
  <c r="E13" i="55"/>
  <c r="C4" i="56"/>
  <c r="E9" i="33"/>
  <c r="E23" i="33"/>
  <c r="E20" i="33"/>
  <c r="B17" i="56" l="1"/>
  <c r="C6" i="56"/>
  <c r="D5" i="58"/>
  <c r="E32" i="2" s="1"/>
  <c r="C27" i="56"/>
  <c r="C30" i="56" s="1"/>
  <c r="I6" i="55"/>
  <c r="I12" i="55" s="1"/>
  <c r="H12" i="55"/>
  <c r="E4" i="56"/>
  <c r="G13" i="55"/>
  <c r="B32" i="56"/>
  <c r="B34" i="56"/>
  <c r="E5" i="58"/>
  <c r="F32" i="2" s="1"/>
  <c r="D27" i="56"/>
  <c r="D30" i="56" s="1"/>
  <c r="D6" i="56"/>
  <c r="E6" i="56" l="1"/>
  <c r="E27" i="56"/>
  <c r="E30" i="56" s="1"/>
  <c r="F5" i="58"/>
  <c r="G32" i="2" s="1"/>
  <c r="E11" i="17" s="1"/>
  <c r="H13" i="55"/>
  <c r="F4" i="56"/>
  <c r="E29" i="2"/>
  <c r="D11" i="17"/>
  <c r="C11" i="17"/>
  <c r="C16" i="56"/>
  <c r="F8" i="33"/>
  <c r="G8" i="33"/>
  <c r="D16" i="56"/>
  <c r="I13" i="55"/>
  <c r="G4" i="56"/>
  <c r="F29" i="2"/>
  <c r="B35" i="56"/>
  <c r="B37" i="56"/>
  <c r="C31" i="56" l="1"/>
  <c r="C17" i="56"/>
  <c r="B39" i="56"/>
  <c r="B40" i="56" s="1"/>
  <c r="B38" i="56"/>
  <c r="E41" i="2"/>
  <c r="E43" i="2" s="1"/>
  <c r="E36" i="2"/>
  <c r="F27" i="56"/>
  <c r="F30" i="56" s="1"/>
  <c r="G5" i="58"/>
  <c r="H32" i="2" s="1"/>
  <c r="F6" i="56"/>
  <c r="F41" i="2"/>
  <c r="F43" i="2" s="1"/>
  <c r="F36" i="2"/>
  <c r="G29" i="2"/>
  <c r="G27" i="56"/>
  <c r="G30" i="56" s="1"/>
  <c r="G6" i="56"/>
  <c r="H5" i="58"/>
  <c r="I32" i="2" s="1"/>
  <c r="I29" i="2" s="1"/>
  <c r="E16" i="56"/>
  <c r="H8" i="33"/>
  <c r="D31" i="56"/>
  <c r="D17" i="56"/>
  <c r="G9" i="33"/>
  <c r="G23" i="33"/>
  <c r="G20" i="33"/>
  <c r="F20" i="33"/>
  <c r="F23" i="33"/>
  <c r="F9" i="33"/>
  <c r="B6" i="17" l="1"/>
  <c r="E11" i="33"/>
  <c r="B41" i="56"/>
  <c r="H20" i="33"/>
  <c r="H9" i="33"/>
  <c r="H23" i="33"/>
  <c r="E31" i="56"/>
  <c r="E17" i="56"/>
  <c r="G16" i="56"/>
  <c r="J8" i="33"/>
  <c r="C34" i="56"/>
  <c r="C32" i="56"/>
  <c r="H29" i="2"/>
  <c r="G11" i="17"/>
  <c r="D32" i="56"/>
  <c r="D34" i="56"/>
  <c r="I36" i="2"/>
  <c r="I41" i="2"/>
  <c r="I43" i="2" s="1"/>
  <c r="G36" i="2"/>
  <c r="G41" i="2"/>
  <c r="G43" i="2" s="1"/>
  <c r="F11" i="17"/>
  <c r="F16" i="56"/>
  <c r="I8" i="33"/>
  <c r="G31" i="56" l="1"/>
  <c r="G17" i="56"/>
  <c r="D35" i="56"/>
  <c r="D37" i="56"/>
  <c r="H41" i="2"/>
  <c r="H43" i="2" s="1"/>
  <c r="H36" i="2"/>
  <c r="E34" i="56"/>
  <c r="E32" i="56"/>
  <c r="E12" i="33"/>
  <c r="E15" i="33"/>
  <c r="E24" i="33" s="1"/>
  <c r="I20" i="33"/>
  <c r="I9" i="33"/>
  <c r="I23" i="33"/>
  <c r="C37" i="56"/>
  <c r="C35" i="56"/>
  <c r="F31" i="56"/>
  <c r="F17" i="56"/>
  <c r="J23" i="33"/>
  <c r="J20" i="33"/>
  <c r="J9" i="33"/>
  <c r="E35" i="56" l="1"/>
  <c r="E37" i="56"/>
  <c r="C39" i="56"/>
  <c r="C40" i="56" s="1"/>
  <c r="C38" i="56"/>
  <c r="G32" i="56"/>
  <c r="G34" i="56"/>
  <c r="F32" i="56"/>
  <c r="F34" i="56"/>
  <c r="D39" i="56"/>
  <c r="D40" i="56" s="1"/>
  <c r="D38" i="56"/>
  <c r="G11" i="33" l="1"/>
  <c r="D41" i="56"/>
  <c r="D6" i="17"/>
  <c r="D9" i="17" s="1"/>
  <c r="D15" i="17" s="1"/>
  <c r="D19" i="17" s="1"/>
  <c r="D23" i="17" s="1"/>
  <c r="F37" i="56"/>
  <c r="F35" i="56"/>
  <c r="G37" i="56"/>
  <c r="G35" i="56"/>
  <c r="F11" i="33"/>
  <c r="C6" i="17"/>
  <c r="C9" i="17" s="1"/>
  <c r="C15" i="17" s="1"/>
  <c r="C19" i="17" s="1"/>
  <c r="C23" i="17" s="1"/>
  <c r="C41" i="56"/>
  <c r="E7" i="2"/>
  <c r="E39" i="56"/>
  <c r="E40" i="56" s="1"/>
  <c r="E38" i="56"/>
  <c r="E41" i="56" l="1"/>
  <c r="H11" i="33"/>
  <c r="E6" i="17"/>
  <c r="E9" i="17" s="1"/>
  <c r="E15" i="17" s="1"/>
  <c r="E19" i="17" s="1"/>
  <c r="E23" i="17" s="1"/>
  <c r="G12" i="33"/>
  <c r="G15" i="33"/>
  <c r="G24" i="33" s="1"/>
  <c r="E5" i="2"/>
  <c r="E20" i="2" s="1"/>
  <c r="E38" i="2" s="1"/>
  <c r="F7" i="2"/>
  <c r="F12" i="33"/>
  <c r="F15" i="33"/>
  <c r="F24" i="33" s="1"/>
  <c r="F29" i="33" s="1"/>
  <c r="G39" i="56"/>
  <c r="G40" i="56" s="1"/>
  <c r="G38" i="56"/>
  <c r="F38" i="56"/>
  <c r="F39" i="56"/>
  <c r="F40" i="56" s="1"/>
  <c r="C25" i="17"/>
  <c r="D24" i="17" s="1"/>
  <c r="D25" i="17" l="1"/>
  <c r="E24" i="17" s="1"/>
  <c r="E25" i="17" s="1"/>
  <c r="F24" i="17" s="1"/>
  <c r="G41" i="56"/>
  <c r="J11" i="33"/>
  <c r="G6" i="17"/>
  <c r="G9" i="17" s="1"/>
  <c r="G15" i="17" s="1"/>
  <c r="G19" i="17" s="1"/>
  <c r="G23" i="17" s="1"/>
  <c r="G7" i="2"/>
  <c r="F5" i="2"/>
  <c r="F20" i="2" s="1"/>
  <c r="F38" i="2" s="1"/>
  <c r="G29" i="33"/>
  <c r="G25" i="33"/>
  <c r="C26" i="17"/>
  <c r="I11" i="33"/>
  <c r="F41" i="56"/>
  <c r="F6" i="17"/>
  <c r="F9" i="17" s="1"/>
  <c r="F15" i="17" s="1"/>
  <c r="F19" i="17" s="1"/>
  <c r="F23" i="17" s="1"/>
  <c r="H12" i="33"/>
  <c r="H15" i="33"/>
  <c r="H24" i="33" s="1"/>
  <c r="H25" i="33" l="1"/>
  <c r="H29" i="33"/>
  <c r="I12" i="33"/>
  <c r="I15" i="33"/>
  <c r="I24" i="33" s="1"/>
  <c r="J12" i="33"/>
  <c r="J15" i="33"/>
  <c r="J24" i="33" s="1"/>
  <c r="H7" i="2"/>
  <c r="G5" i="2"/>
  <c r="G20" i="2" s="1"/>
  <c r="G38" i="2" s="1"/>
  <c r="F25" i="17"/>
  <c r="G24" i="17" s="1"/>
  <c r="E26" i="17"/>
  <c r="D26" i="17"/>
  <c r="I7" i="2" l="1"/>
  <c r="I5" i="2" s="1"/>
  <c r="I20" i="2" s="1"/>
  <c r="I38" i="2" s="1"/>
  <c r="H5" i="2"/>
  <c r="H20" i="2" s="1"/>
  <c r="H38" i="2" s="1"/>
  <c r="H33" i="33"/>
  <c r="H36" i="33" s="1"/>
  <c r="J29" i="33"/>
  <c r="J25" i="33"/>
  <c r="G25" i="17"/>
  <c r="G26" i="17" s="1"/>
  <c r="I25" i="33"/>
  <c r="I29" i="33"/>
  <c r="F26" i="17"/>
  <c r="H32" i="33" l="1"/>
  <c r="H39" i="33" s="1"/>
  <c r="H42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tc={4E1D1450-C7BD-7342-AD4C-BABF24A81054}</author>
  </authors>
  <commentList>
    <comment ref="B12" authorId="0" shapeId="0" xr:uid="{00000000-0006-0000-0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Output?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tc={2B9FB403-3083-9841-928A-5E5F59BA3E5E}</author>
  </authors>
  <commentList>
    <comment ref="E3" authorId="0" shapeId="0" xr:uid="{00000000-0006-0000-1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what Fresho indicated?</t>
      </text>
    </comment>
  </commentList>
</comments>
</file>

<file path=xl/sharedStrings.xml><?xml version="1.0" encoding="utf-8"?>
<sst xmlns="http://schemas.openxmlformats.org/spreadsheetml/2006/main" count="751" uniqueCount="438">
  <si>
    <t>FreshoKartz Agri products Pvt Ltd</t>
  </si>
  <si>
    <t>Particulars</t>
  </si>
  <si>
    <t>FY18</t>
  </si>
  <si>
    <t>FY19</t>
  </si>
  <si>
    <t>FY20</t>
  </si>
  <si>
    <t>Purchases</t>
  </si>
  <si>
    <t>Gross Margin</t>
  </si>
  <si>
    <t>Employee Costs</t>
  </si>
  <si>
    <t>EBITDA</t>
  </si>
  <si>
    <t>Depreciation</t>
  </si>
  <si>
    <t>EBIT</t>
  </si>
  <si>
    <t>Finance costs</t>
  </si>
  <si>
    <t>Net Loss</t>
  </si>
  <si>
    <t>Tangible Assets</t>
  </si>
  <si>
    <t>Inventories</t>
  </si>
  <si>
    <t>Current Assets</t>
  </si>
  <si>
    <t>Total</t>
  </si>
  <si>
    <t>Seeds</t>
  </si>
  <si>
    <t>% of gross sales</t>
  </si>
  <si>
    <t>Nos</t>
  </si>
  <si>
    <t>Expenses</t>
  </si>
  <si>
    <t>Marketing Costs</t>
  </si>
  <si>
    <t>Office rent</t>
  </si>
  <si>
    <t>Infrastructure costs (admin, maintenance etc)</t>
  </si>
  <si>
    <t>Travel &amp; Conveyance - Sales Team</t>
  </si>
  <si>
    <t>Employee training &amp; engagement</t>
  </si>
  <si>
    <t xml:space="preserve">Printing &amp; Stationery </t>
  </si>
  <si>
    <t>Server &amp; Hosting</t>
  </si>
  <si>
    <t>% growth</t>
  </si>
  <si>
    <t>Office Set-up (Furniture)</t>
  </si>
  <si>
    <t>Computers, Printers etc</t>
  </si>
  <si>
    <t>Inverter Batteries &amp; Misc</t>
  </si>
  <si>
    <t>Misc assets</t>
  </si>
  <si>
    <t>License Software</t>
  </si>
  <si>
    <t>Punjab</t>
  </si>
  <si>
    <t>Haryana</t>
  </si>
  <si>
    <t>Madhya Pradesh</t>
  </si>
  <si>
    <t>Uttar Pradesh</t>
  </si>
  <si>
    <t>General &amp; Administrative Expenses</t>
  </si>
  <si>
    <t>Rajasthan</t>
  </si>
  <si>
    <t>Manpower Costs</t>
  </si>
  <si>
    <t>Total Manpower</t>
  </si>
  <si>
    <t>Description</t>
  </si>
  <si>
    <t>Management</t>
  </si>
  <si>
    <t>Technology</t>
  </si>
  <si>
    <t>Marketing</t>
  </si>
  <si>
    <t>Finance</t>
  </si>
  <si>
    <t>HR</t>
  </si>
  <si>
    <t>Admin</t>
  </si>
  <si>
    <t>Legal &amp; Compliance</t>
  </si>
  <si>
    <t>Increment %</t>
  </si>
  <si>
    <t xml:space="preserve">Mis Cost </t>
  </si>
  <si>
    <t>Pesticides</t>
  </si>
  <si>
    <t>Fertilisers</t>
  </si>
  <si>
    <t>EBITDA %</t>
  </si>
  <si>
    <t>Gross Margin %</t>
  </si>
  <si>
    <t>Warehouse Rent</t>
  </si>
  <si>
    <t>Inventory Turnover Days</t>
  </si>
  <si>
    <t>Other current liabilities</t>
  </si>
  <si>
    <t>Fixed Asset Register</t>
  </si>
  <si>
    <t>Additions</t>
  </si>
  <si>
    <t>Computers &amp; Servers</t>
  </si>
  <si>
    <t>Furniture &amp; Fixtures</t>
  </si>
  <si>
    <t>Office Equipments</t>
  </si>
  <si>
    <t>Intangible Assets</t>
  </si>
  <si>
    <t>Total Depreciation</t>
  </si>
  <si>
    <t>Addition during the year</t>
  </si>
  <si>
    <t>Net Book Value</t>
  </si>
  <si>
    <t>Website /App Development</t>
  </si>
  <si>
    <t>Useful life (years)</t>
  </si>
  <si>
    <t>Inhouse CRM development</t>
  </si>
  <si>
    <t>Check</t>
  </si>
  <si>
    <t>na</t>
  </si>
  <si>
    <t>Working Capital Cycle</t>
  </si>
  <si>
    <t>INR crores</t>
  </si>
  <si>
    <t>Freight expenses and Other costs</t>
  </si>
  <si>
    <t>Marketing &amp; Promotion Expenses</t>
  </si>
  <si>
    <t>Other Expenses</t>
  </si>
  <si>
    <t>Revenue Growth %</t>
  </si>
  <si>
    <t>Employee costs % of revenue</t>
  </si>
  <si>
    <t>Revenue from Operations</t>
  </si>
  <si>
    <t>Historical Profit &amp; Loss</t>
  </si>
  <si>
    <t>Districts</t>
  </si>
  <si>
    <t>Alwar</t>
  </si>
  <si>
    <t>Sikar</t>
  </si>
  <si>
    <t>Tonk</t>
  </si>
  <si>
    <t>Avg Transaction Value (INR)</t>
  </si>
  <si>
    <t>Input Sales</t>
  </si>
  <si>
    <t>Output Sales</t>
  </si>
  <si>
    <t>Total No of Transaction</t>
  </si>
  <si>
    <t>Utilities costs (Electricity, Communication)</t>
  </si>
  <si>
    <t>New Additions during the period</t>
  </si>
  <si>
    <t>Co-founders</t>
  </si>
  <si>
    <t>Capex Investment</t>
  </si>
  <si>
    <t>Vehicle Purchase</t>
  </si>
  <si>
    <t>Vehicle</t>
  </si>
  <si>
    <t>Interest</t>
  </si>
  <si>
    <t>Vehicle Loans</t>
  </si>
  <si>
    <t>Principal</t>
  </si>
  <si>
    <t>Balance</t>
  </si>
  <si>
    <t>D+6</t>
  </si>
  <si>
    <t>D+12</t>
  </si>
  <si>
    <t>D+18</t>
  </si>
  <si>
    <t>D+24</t>
  </si>
  <si>
    <t>D+30</t>
  </si>
  <si>
    <t>D+36</t>
  </si>
  <si>
    <t>Sub-total (A)</t>
  </si>
  <si>
    <t>Sub-total (B)</t>
  </si>
  <si>
    <t>A+B</t>
  </si>
  <si>
    <t>INR Millions</t>
  </si>
  <si>
    <t>Revenue</t>
  </si>
  <si>
    <t>Equity Value</t>
  </si>
  <si>
    <t>PAT</t>
  </si>
  <si>
    <t>Pre Money Equity Valuation</t>
  </si>
  <si>
    <t>Discounted Cash Flow</t>
  </si>
  <si>
    <t>Valuation date</t>
  </si>
  <si>
    <t>Financial years ended March 31</t>
  </si>
  <si>
    <t>In INR</t>
  </si>
  <si>
    <t>Old Numbers</t>
  </si>
  <si>
    <t>Y-o-Y growth</t>
  </si>
  <si>
    <t>Net profit</t>
  </si>
  <si>
    <t>As % of revenue</t>
  </si>
  <si>
    <t>Interest expense (tax adjusted)</t>
  </si>
  <si>
    <t>Adjusted Net Income</t>
  </si>
  <si>
    <t>Depreciation and Amortization</t>
  </si>
  <si>
    <t>D&amp;A as % of capex</t>
  </si>
  <si>
    <t>Changes in working capital</t>
  </si>
  <si>
    <t>As % of incremental revenue</t>
  </si>
  <si>
    <t>Net Capital expenditure</t>
  </si>
  <si>
    <t>FCFF</t>
  </si>
  <si>
    <t>Growth (%)</t>
  </si>
  <si>
    <t>Year factor</t>
  </si>
  <si>
    <t>PV factor</t>
  </si>
  <si>
    <t>PV of FCFF</t>
  </si>
  <si>
    <t>WACC</t>
  </si>
  <si>
    <t>Risk free rate</t>
  </si>
  <si>
    <t>Total PV of FCFF</t>
  </si>
  <si>
    <t>Beta</t>
  </si>
  <si>
    <t>Terminal Value</t>
  </si>
  <si>
    <t>Equity risk premium</t>
  </si>
  <si>
    <t>Terminal Value PV Factor</t>
  </si>
  <si>
    <t>Size premium</t>
  </si>
  <si>
    <t>Terminal Growth Rate</t>
  </si>
  <si>
    <t>Company Specific Risk Premium</t>
  </si>
  <si>
    <t>PV of Terminal Value</t>
  </si>
  <si>
    <t>Cost of equity</t>
  </si>
  <si>
    <t>Add: Cash and short term investments</t>
  </si>
  <si>
    <t>Cost of debt</t>
  </si>
  <si>
    <t>Less: Debt</t>
  </si>
  <si>
    <t>Debt/(Debt+Equity) ratio</t>
  </si>
  <si>
    <t>Equity Value (Post-money)</t>
  </si>
  <si>
    <t>Tax rate</t>
  </si>
  <si>
    <t>Equity Investment</t>
  </si>
  <si>
    <t>Equity Value (Pre-money)</t>
  </si>
  <si>
    <t>PE/VC Transactions ($ in Millions)</t>
  </si>
  <si>
    <t>Company</t>
  </si>
  <si>
    <t>Date Raised</t>
  </si>
  <si>
    <t>AmountRaised</t>
  </si>
  <si>
    <t>Pre Money Equity</t>
  </si>
  <si>
    <t>Post Money Equity</t>
  </si>
  <si>
    <t>Dilution</t>
  </si>
  <si>
    <t>Pre Money Equity Valuation  / Revenue (X)</t>
  </si>
  <si>
    <t>Total Funding to Date</t>
  </si>
  <si>
    <t>M&amp;A year</t>
  </si>
  <si>
    <t>Company Name</t>
  </si>
  <si>
    <t>TEV</t>
  </si>
  <si>
    <t>Market Cap</t>
  </si>
  <si>
    <t>EBITDA / EBITDA Margin</t>
  </si>
  <si>
    <t>TEV / Revenue</t>
  </si>
  <si>
    <t>TEV/EBITDA</t>
  </si>
  <si>
    <t>Mkt Cap / Revenue</t>
  </si>
  <si>
    <t>Mkt Cap / EBITDA</t>
  </si>
  <si>
    <t>Average Market Cap /Rev</t>
  </si>
  <si>
    <t>Discount</t>
  </si>
  <si>
    <t>Pre Money Equity Valuation (Rs.)</t>
  </si>
  <si>
    <t>Publicly Traded ($ in Million, other than per share values) - NONE</t>
  </si>
  <si>
    <t>Jaipur</t>
  </si>
  <si>
    <t>M&amp;A Transactions ($ in Millions) - NONE</t>
  </si>
  <si>
    <t>Districts wise Cropped Area (hectares) and Agriculure workers</t>
  </si>
  <si>
    <t>2011-14</t>
  </si>
  <si>
    <t>Cropped Area (hectare)</t>
  </si>
  <si>
    <t>Agriculture Worker</t>
  </si>
  <si>
    <t>Ajmer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</si>
  <si>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</si>
  <si>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</si>
  <si>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</si>
  <si>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</si>
  <si>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</si>
  <si>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</si>
  <si>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</si>
  <si>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</si>
  <si>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Dholpur</t>
  </si>
  <si>
    <t>Dungarpur</t>
  </si>
  <si>
    <t>Ganganagar</t>
  </si>
  <si>
    <t>Jaisalmer</t>
  </si>
  <si>
    <t>Jalore</t>
  </si>
  <si>
    <t>Jhalawar</t>
  </si>
  <si>
    <t>Jhunjuhunu</t>
  </si>
  <si>
    <t>Jodhpur</t>
  </si>
  <si>
    <t>Kota</t>
  </si>
  <si>
    <t>Nagaur</t>
  </si>
  <si>
    <t>Pali</t>
  </si>
  <si>
    <t>Sawai Madhopur</t>
  </si>
  <si>
    <t>Sirohi</t>
  </si>
  <si>
    <t>Udaipur</t>
  </si>
  <si>
    <t>Agricultural workers here include both cultivators and agricultural
labourers (main and marginal &amp; rural and urban).</t>
  </si>
  <si>
    <t>Number of Farmers</t>
  </si>
  <si>
    <t>Number of Input Sellers</t>
  </si>
  <si>
    <t>Number of Total Districts</t>
  </si>
  <si>
    <t>Number of Soil Testing / Advisory</t>
  </si>
  <si>
    <t>Number of Crop Insurance providers? Penetration?</t>
  </si>
  <si>
    <t>Financial Metrics</t>
  </si>
  <si>
    <t xml:space="preserve">INR </t>
  </si>
  <si>
    <t>FY17-18</t>
  </si>
  <si>
    <t>FY18-19</t>
  </si>
  <si>
    <t>FY19-20</t>
  </si>
  <si>
    <t>Q1FY21</t>
  </si>
  <si>
    <t>Annualised Projected - FY21</t>
  </si>
  <si>
    <t>Output Sales KPIs</t>
  </si>
  <si>
    <t>No of farmers in Output (Nos)</t>
  </si>
  <si>
    <t>No. of transactions (Nos)</t>
  </si>
  <si>
    <t>Avg transaction per farmer (Rs)</t>
  </si>
  <si>
    <t>Avg transaction value (Rs)</t>
  </si>
  <si>
    <t>Input Sales KPIs</t>
  </si>
  <si>
    <t>No of farmers in Input (Nos)</t>
  </si>
  <si>
    <t>Orders Per Farmers (Nos)</t>
  </si>
  <si>
    <t>No of Repeated farmers *</t>
  </si>
  <si>
    <t>% of repeated farmers</t>
  </si>
  <si>
    <t>No of active FK Centers</t>
  </si>
  <si>
    <t>Ratio of Input Sales</t>
  </si>
  <si>
    <t>* Repeated farmers = Farmers transacted more than 1 time, there are 340 farmers who have transacted minimum 3 times.</t>
  </si>
  <si>
    <t>Note 1: 46 Crop Advisory has provide at INR 500 (INR 23,000)</t>
  </si>
  <si>
    <t>Note 2: 48 farmers of INR 10,000 per farmer has been provided Input Financing through Sagri (Japanese Agri Financing Co)</t>
  </si>
  <si>
    <t>na- Not Available</t>
  </si>
  <si>
    <t>STATEWISE DEMOGRAPHIC AND AGRICULTURE DATA</t>
  </si>
  <si>
    <t>Geogrophical Area (Lakh Sq. Km)</t>
  </si>
  <si>
    <t>Average Size of Land Holdings (Hectares)</t>
  </si>
  <si>
    <t>Arable Land/ Cropped Area (Hectares)</t>
  </si>
  <si>
    <t>Crops grown</t>
  </si>
  <si>
    <t>Prominent Crop</t>
  </si>
  <si>
    <t>Number of APMC</t>
  </si>
  <si>
    <t>India</t>
  </si>
  <si>
    <t>2477 and 4843 sub-market yards</t>
  </si>
  <si>
    <t>bajra, jowar, maize, barley, wheat, pulses, gram, cotton,groundnut, sugarcane, rapeseed, mustard and sesame</t>
  </si>
  <si>
    <t>Bajra, Rapeseed and Mustard Oil</t>
  </si>
  <si>
    <t>sugarcane, groundnut, maize and paddy, chillies, bajra, jawar, pulses and vegetables</t>
  </si>
  <si>
    <t>Wheat, Rice, Maize and Bajra</t>
  </si>
  <si>
    <t>Soybean, wheat, gram, paddy, cotton, jowar, maize, arhar, urad, moong, groundnut, mustard, sesamum.</t>
  </si>
  <si>
    <t>Wheat, Rice, Cotton, Pulses, Soyabean</t>
  </si>
  <si>
    <t xml:space="preserve">rice, maize, pigeon pea, sorghum, pearl millet, moong beans, Bengal gram, green peas, rapeseed and mustard and lentil </t>
  </si>
  <si>
    <t>Rice, wheat, Sugarcane</t>
  </si>
  <si>
    <t>Rice, Wheat, Cotton, Maize, Sugarcane, Potato, Pulses</t>
  </si>
  <si>
    <t>Rice, Wheat, Cotton, Maize</t>
  </si>
  <si>
    <t>Note</t>
  </si>
  <si>
    <t>1. Rajasthan data pertains to 2011</t>
  </si>
  <si>
    <t>2. Haryana data pertains to 2015, 2011</t>
  </si>
  <si>
    <t>3. Punjab data pertains to 2015, 2011</t>
  </si>
  <si>
    <t>4. MP data pertains to 2013</t>
  </si>
  <si>
    <t>5. UP data pertains to 2011, 2013</t>
  </si>
  <si>
    <t>6. Soil Testing Lab details as per Farmers Portal - https://farmer.gov.in/stl.aspx</t>
  </si>
  <si>
    <t>What is your source?</t>
  </si>
  <si>
    <t>Number of Farmers Total</t>
  </si>
  <si>
    <t>Number of Transactions Total</t>
  </si>
  <si>
    <t>Number Overall Transaction / Farmer</t>
  </si>
  <si>
    <t>Number of input transaction/ Inputt Farmer</t>
  </si>
  <si>
    <t>Number of Transaction/Output Farmer</t>
  </si>
  <si>
    <t>% of Total</t>
  </si>
  <si>
    <t>Prachi - inlcud ethsi infrmation on the PL KPI tab</t>
  </si>
  <si>
    <t xml:space="preserve">Avoid stand alone - integrate with P&amp;L </t>
  </si>
  <si>
    <t xml:space="preserve">Avoid Stand alone - include with Metrics </t>
  </si>
  <si>
    <t>Should be included in Insutry Make up / State wide infrmation tab</t>
  </si>
  <si>
    <t>Total Manpower Cost (INR Million)</t>
  </si>
  <si>
    <t>RAJASTHAN</t>
  </si>
  <si>
    <t>Revolving Working Capital Loan - Bank</t>
  </si>
  <si>
    <t>FY 2021</t>
  </si>
  <si>
    <t>FY 2022</t>
  </si>
  <si>
    <t>FY 2023</t>
  </si>
  <si>
    <t>FY 2024</t>
  </si>
  <si>
    <t>FY 2025</t>
  </si>
  <si>
    <t>Loan from Bank @ 12%</t>
  </si>
  <si>
    <t>FY2024</t>
  </si>
  <si>
    <t>Requirement of Working Capital (Assumed)</t>
  </si>
  <si>
    <t>% of Sales</t>
  </si>
  <si>
    <t>Interest @ 12%</t>
  </si>
  <si>
    <t>Revenue (TTM, Year of Funding)</t>
  </si>
  <si>
    <t>Not Available / No Transactions noted</t>
  </si>
  <si>
    <t>None noted</t>
  </si>
  <si>
    <t>CTO</t>
  </si>
  <si>
    <t>This no to be applied based on the industry and relative company</t>
  </si>
  <si>
    <t xml:space="preserve">Revenue </t>
  </si>
  <si>
    <t>Loan 1</t>
  </si>
  <si>
    <t>Loan 2</t>
  </si>
  <si>
    <t>Vehicle Loan</t>
  </si>
  <si>
    <t>Date of Disbursement - INR __________ lacs</t>
  </si>
  <si>
    <t>Loan Amount</t>
  </si>
  <si>
    <t>Product 1</t>
  </si>
  <si>
    <t>Product 2</t>
  </si>
  <si>
    <t>Product 3</t>
  </si>
  <si>
    <t>Product 4</t>
  </si>
  <si>
    <t>New Product</t>
  </si>
  <si>
    <t xml:space="preserve">No of  Customers </t>
  </si>
  <si>
    <t>Geographic Spread (Active Customers)</t>
  </si>
  <si>
    <t>Total Direct Cost</t>
  </si>
  <si>
    <t>FY 24</t>
  </si>
  <si>
    <t>Amount of Working Capital</t>
  </si>
  <si>
    <t>Sales Breakdown</t>
  </si>
  <si>
    <t>REVENUE</t>
  </si>
  <si>
    <t>A</t>
  </si>
  <si>
    <t>TOTAL Revenue</t>
  </si>
  <si>
    <t>Name of Company</t>
  </si>
  <si>
    <t>FY1</t>
  </si>
  <si>
    <t>FY2</t>
  </si>
  <si>
    <t>FY3</t>
  </si>
  <si>
    <t>FY4</t>
  </si>
  <si>
    <t>FY5</t>
  </si>
  <si>
    <t>Input No as per your industry</t>
  </si>
  <si>
    <t>BALANCE SHEET ASSUMPTION - Input no as per your industry</t>
  </si>
  <si>
    <t>FY 1</t>
  </si>
  <si>
    <t>FY 2</t>
  </si>
  <si>
    <t>FY 3</t>
  </si>
  <si>
    <t>FY 4</t>
  </si>
  <si>
    <t>FY 5</t>
  </si>
  <si>
    <t>Geographic Spread (in % terms)</t>
  </si>
  <si>
    <t>Sales - Productwise (Quantity)</t>
  </si>
  <si>
    <t>PROFIT &amp; LOSS ASSUMPTION - Input no as per your industry</t>
  </si>
  <si>
    <t>Other Income</t>
  </si>
  <si>
    <t>Total Revenue</t>
  </si>
  <si>
    <t>Gross Margin (%)</t>
  </si>
  <si>
    <t>Marketing Expenses</t>
  </si>
  <si>
    <t>EBITDA (%)</t>
  </si>
  <si>
    <t>Depriciation &amp; Amortization</t>
  </si>
  <si>
    <t>EBIT (%)</t>
  </si>
  <si>
    <t>EBT</t>
  </si>
  <si>
    <t>EBT(%)</t>
  </si>
  <si>
    <t>Income Tax</t>
  </si>
  <si>
    <t>PAT(%)</t>
  </si>
  <si>
    <t>Direct Expenses</t>
  </si>
  <si>
    <t>Amount in INR</t>
  </si>
  <si>
    <t>EQUITY AND LIABILITIES</t>
  </si>
  <si>
    <t>Shareholder's funds:</t>
  </si>
  <si>
    <t>Reserves and surplus</t>
  </si>
  <si>
    <t>Share application money pending for allotment</t>
  </si>
  <si>
    <t>Non - current liabilities:</t>
  </si>
  <si>
    <t>Long - term borrowings</t>
  </si>
  <si>
    <t>Deferred tax liabilities (Net)</t>
  </si>
  <si>
    <t>Other Long - term liabilities</t>
  </si>
  <si>
    <t>Long - term provisions</t>
  </si>
  <si>
    <t>Current liabilities</t>
  </si>
  <si>
    <t>Short - term borrowings</t>
  </si>
  <si>
    <t>Trade payables</t>
  </si>
  <si>
    <t>Income received in advance</t>
  </si>
  <si>
    <t>Short - term provisions</t>
  </si>
  <si>
    <t>ASSETS</t>
  </si>
  <si>
    <t>Non - current assets:</t>
  </si>
  <si>
    <t>WDV</t>
  </si>
  <si>
    <t>Investments and Deposits</t>
  </si>
  <si>
    <t>Deferred tax assets (Net)</t>
  </si>
  <si>
    <t>Long-term loans and advances</t>
  </si>
  <si>
    <t>Other non-current assets</t>
  </si>
  <si>
    <t>Current assets:</t>
  </si>
  <si>
    <t>Current investments</t>
  </si>
  <si>
    <t>Trade receivables</t>
  </si>
  <si>
    <t>Cash and cash equivalents</t>
  </si>
  <si>
    <t>Short-term loans and advances</t>
  </si>
  <si>
    <t>Other current assets</t>
  </si>
  <si>
    <t xml:space="preserve">Working Capital </t>
  </si>
  <si>
    <t>Current Laibilities</t>
  </si>
  <si>
    <t>Cash flow statement</t>
  </si>
  <si>
    <t>Cash flow</t>
  </si>
  <si>
    <t>Add: Depreciation</t>
  </si>
  <si>
    <t>Add: Amortisations</t>
  </si>
  <si>
    <t>Total cash accrual</t>
  </si>
  <si>
    <t xml:space="preserve">Changes in WC </t>
  </si>
  <si>
    <t>(Increase) /decrease in debtors</t>
  </si>
  <si>
    <t>(Increase) /decrease in inventories</t>
  </si>
  <si>
    <t>(Increase) /decrease in other Assets</t>
  </si>
  <si>
    <t>Increase/(decrease) in Current Liabilities</t>
  </si>
  <si>
    <t>Total cash flow from Operations after WC changes</t>
  </si>
  <si>
    <t>Changes in investing activities</t>
  </si>
  <si>
    <t>(Purchase) of FA</t>
  </si>
  <si>
    <t>(Purchase)/Sale of Investments</t>
  </si>
  <si>
    <t>Total cash flow after investing activities</t>
  </si>
  <si>
    <t>Changes in financing activities</t>
  </si>
  <si>
    <t>Equity infusion</t>
  </si>
  <si>
    <t>Debt infusion</t>
  </si>
  <si>
    <t>Total changes after financing activities</t>
  </si>
  <si>
    <t>Opening cash balance</t>
  </si>
  <si>
    <t>Closing cash balance</t>
  </si>
  <si>
    <t>COMPANY NAME</t>
  </si>
  <si>
    <t>Based on Industry</t>
  </si>
  <si>
    <t>Net Book Value as at 01 Apr 24</t>
  </si>
  <si>
    <t>Depreciation during FY1</t>
  </si>
  <si>
    <t>Depreciation during FY2</t>
  </si>
  <si>
    <t>NBV as at FY 2</t>
  </si>
  <si>
    <t>NBV as at FY 1</t>
  </si>
  <si>
    <t>Depreciation during FY3</t>
  </si>
  <si>
    <t>NBV as at FY 3</t>
  </si>
  <si>
    <t>Depreciation during FY4</t>
  </si>
  <si>
    <t>NBV as at FY 4</t>
  </si>
  <si>
    <t>Depreciation during FY5</t>
  </si>
  <si>
    <t>NBV as at FY 5</t>
  </si>
  <si>
    <t>Marketing expenses</t>
  </si>
  <si>
    <t>Marketing Team</t>
  </si>
  <si>
    <t>Manpower Assumptions - HO (No of employees)</t>
  </si>
  <si>
    <t>Salary per annum (per employee)</t>
  </si>
  <si>
    <t>as per your company</t>
  </si>
  <si>
    <t>INR/Per Annum</t>
  </si>
  <si>
    <t>INR/Per annum</t>
  </si>
  <si>
    <t>Expenses Growth</t>
  </si>
  <si>
    <t>Manufacturing Costs</t>
  </si>
  <si>
    <t>Direct labour</t>
  </si>
  <si>
    <t>Factory expenses</t>
  </si>
  <si>
    <t>Fixed Cost - INR /per annum</t>
  </si>
  <si>
    <t>Indirect Expenses</t>
  </si>
  <si>
    <t>Branding and Marketing</t>
  </si>
  <si>
    <t>Digital Marketing</t>
  </si>
  <si>
    <t>Traditional Marketing</t>
  </si>
  <si>
    <t>Working Capital Loan</t>
  </si>
  <si>
    <t>As per actuals/industry norms</t>
  </si>
  <si>
    <t>Equity Shareholders</t>
  </si>
  <si>
    <t>Opening Inventory</t>
  </si>
  <si>
    <t>Closing Inventory</t>
  </si>
  <si>
    <t>COGS</t>
  </si>
  <si>
    <t>&lt;&lt;Kindly prepare as taught in class&gt;&gt;</t>
  </si>
  <si>
    <t>Capital work-in-progress</t>
  </si>
  <si>
    <t>Loan Details</t>
  </si>
  <si>
    <t>Loans</t>
  </si>
  <si>
    <t>No of days</t>
  </si>
  <si>
    <t>Working Capital</t>
  </si>
  <si>
    <t>Inventory</t>
  </si>
  <si>
    <t>Trade Payables</t>
  </si>
  <si>
    <t>Trade Receivables</t>
  </si>
  <si>
    <t>Trade receivables Turnover Days</t>
  </si>
  <si>
    <t>Trade Payables Turnover Days</t>
  </si>
  <si>
    <t>Total Indirect Expenses</t>
  </si>
  <si>
    <t>Equity Infusion</t>
  </si>
  <si>
    <t>FY 23</t>
  </si>
  <si>
    <t>Change as per your business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</si>
</sst>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_ ;_ * \-#,##0_ ;_ * &quot;-&quot;??_ ;_ @_ "/>
    <numFmt numFmtId="168" formatCode="0.0%"/>
    <numFmt numFmtId="169" formatCode="_ * #,##0.0_ ;_ * \-#,##0.0_ ;_ * &quot;-&quot;??_ ;_ @_ "/>
    <numFmt numFmtId="170" formatCode="_ * #,##0.00_ ;_ * \(#,##0.00\)_ ;_ * &quot;-&quot;_ ;_ @_ "/>
    <numFmt numFmtId="171" formatCode="_-* #,##0.00_-;\-* #,##0.00_-;_-* &quot;-&quot;??_-;_-@_-"/>
    <numFmt numFmtId="172" formatCode="_-* #,##0_-;\-* #,##0_-;_-* &quot;-&quot;??_-;_-@_-"/>
    <numFmt numFmtId="173" formatCode="_(* #,##0_);_(* \(#,##0\);_(* &quot;-&quot;??_);_(@_)"/>
    <numFmt numFmtId="174" formatCode="[$-409]d\-mmm\-yy;@"/>
    <numFmt numFmtId="175" formatCode="[$-409]mmm\-yy;@"/>
    <numFmt numFmtId="176" formatCode="_(* #,##0.0_);_(* \(#,##0.0\);_(* &quot;-&quot;_);_(@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theme="0"/>
      <name val="Trebuchet MS"/>
      <family val="2"/>
    </font>
    <font>
      <sz val="12"/>
      <color theme="1"/>
      <name val="Calibri"/>
      <family val="2"/>
      <scheme val="minor"/>
    </font>
    <font>
      <i/>
      <sz val="8"/>
      <color theme="0"/>
      <name val="Trebuchet MS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b/>
      <sz val="10"/>
      <name val="Cambria"/>
      <family val="1"/>
    </font>
    <font>
      <b/>
      <sz val="10"/>
      <color rgb="FFFF0000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sz val="10"/>
      <name val="Arial"/>
      <family val="2"/>
    </font>
    <font>
      <sz val="10"/>
      <color theme="1"/>
      <name val="Perpetua"/>
      <family val="2"/>
    </font>
    <font>
      <i/>
      <sz val="10"/>
      <color rgb="FFFF0000"/>
      <name val="Cambria"/>
      <family val="1"/>
    </font>
    <font>
      <sz val="10"/>
      <name val="Arial"/>
      <family val="2"/>
      <charset val="186"/>
    </font>
    <font>
      <b/>
      <sz val="10"/>
      <color indexed="9"/>
      <name val="Cambria"/>
      <family val="1"/>
    </font>
    <font>
      <sz val="11"/>
      <color indexed="8"/>
      <name val="Calibri"/>
      <family val="2"/>
      <scheme val="minor"/>
    </font>
    <font>
      <b/>
      <sz val="10"/>
      <color indexed="8"/>
      <name val="Cambria"/>
      <family val="1"/>
    </font>
    <font>
      <sz val="10"/>
      <color indexed="8"/>
      <name val="Cambria"/>
      <family val="1"/>
    </font>
    <font>
      <b/>
      <i/>
      <sz val="10"/>
      <color indexed="8"/>
      <name val="Cambria"/>
      <family val="1"/>
    </font>
    <font>
      <i/>
      <sz val="10"/>
      <color theme="1"/>
      <name val="Cambria"/>
      <family val="1"/>
    </font>
    <font>
      <i/>
      <sz val="10"/>
      <color theme="0"/>
      <name val="Cambria"/>
      <family val="1"/>
    </font>
    <font>
      <sz val="9"/>
      <color rgb="FFFF0000"/>
      <name val="Trebuchet MS"/>
      <family val="2"/>
    </font>
    <font>
      <sz val="9"/>
      <color theme="1"/>
      <name val="Cambria"/>
      <family val="1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9"/>
      <color theme="0"/>
      <name val="Cambria"/>
      <family val="1"/>
    </font>
    <font>
      <b/>
      <u/>
      <sz val="9"/>
      <color theme="1"/>
      <name val="Cambria"/>
      <family val="1"/>
    </font>
    <font>
      <sz val="10"/>
      <color rgb="FF222222"/>
      <name val="Cambria"/>
      <family val="1"/>
    </font>
    <font>
      <sz val="9"/>
      <color rgb="FF000000"/>
      <name val="Cambria"/>
      <family val="1"/>
    </font>
    <font>
      <sz val="9"/>
      <color rgb="FFFF0000"/>
      <name val="Cambria"/>
      <family val="1"/>
    </font>
    <font>
      <sz val="9"/>
      <name val="Trebuchet MS"/>
      <family val="2"/>
    </font>
    <font>
      <b/>
      <sz val="9"/>
      <color theme="0"/>
      <name val="Trebuchet MS"/>
      <family val="2"/>
    </font>
    <font>
      <b/>
      <i/>
      <sz val="8"/>
      <color rgb="FF000000"/>
      <name val="Cambria"/>
      <family val="1"/>
    </font>
    <font>
      <b/>
      <i/>
      <sz val="10"/>
      <color theme="0"/>
      <name val="Cambria"/>
      <family val="1"/>
    </font>
    <font>
      <b/>
      <u/>
      <sz val="10"/>
      <color theme="1"/>
      <name val="Cambria"/>
      <family val="1"/>
    </font>
    <font>
      <b/>
      <sz val="10"/>
      <color indexed="10"/>
      <name val="Cambria"/>
      <family val="1"/>
    </font>
    <font>
      <sz val="10"/>
      <color indexed="10"/>
      <name val="Cambria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00B0F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i/>
      <sz val="10"/>
      <color rgb="FFFF0000"/>
      <name val="Arial"/>
      <family val="2"/>
    </font>
    <font>
      <sz val="4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3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B7E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71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0" borderId="0"/>
    <xf numFmtId="0" fontId="16" fillId="0" borderId="0"/>
    <xf numFmtId="0" fontId="18" fillId="0" borderId="0"/>
    <xf numFmtId="9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5" fillId="0" borderId="0" applyNumberFormat="0" applyFont="0" applyFill="0" applyBorder="0" applyAlignment="0" applyProtection="0"/>
    <xf numFmtId="166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46">
    <xf numFmtId="0" fontId="0" fillId="0" borderId="0" xfId="0"/>
    <xf numFmtId="0" fontId="2" fillId="0" borderId="0" xfId="0" applyFont="1"/>
    <xf numFmtId="0" fontId="3" fillId="0" borderId="0" xfId="0" applyFont="1"/>
    <xf numFmtId="167" fontId="2" fillId="0" borderId="0" xfId="1" applyNumberFormat="1" applyFont="1"/>
    <xf numFmtId="167" fontId="2" fillId="0" borderId="0" xfId="0" applyNumberFormat="1" applyFont="1"/>
    <xf numFmtId="0" fontId="4" fillId="6" borderId="0" xfId="0" applyFont="1" applyFill="1"/>
    <xf numFmtId="43" fontId="2" fillId="0" borderId="0" xfId="0" applyNumberFormat="1" applyFont="1"/>
    <xf numFmtId="168" fontId="2" fillId="0" borderId="0" xfId="2" applyNumberFormat="1" applyFont="1"/>
    <xf numFmtId="0" fontId="4" fillId="6" borderId="0" xfId="0" applyFont="1" applyFill="1" applyAlignment="1">
      <alignment horizontal="right"/>
    </xf>
    <xf numFmtId="43" fontId="2" fillId="0" borderId="0" xfId="1" applyFont="1"/>
    <xf numFmtId="0" fontId="6" fillId="6" borderId="0" xfId="0" applyFont="1" applyFill="1"/>
    <xf numFmtId="0" fontId="3" fillId="8" borderId="2" xfId="0" applyFont="1" applyFill="1" applyBorder="1"/>
    <xf numFmtId="0" fontId="2" fillId="0" borderId="0" xfId="0" applyFont="1" applyAlignment="1">
      <alignment horizontal="right"/>
    </xf>
    <xf numFmtId="170" fontId="2" fillId="0" borderId="0" xfId="1" applyNumberFormat="1" applyFont="1"/>
    <xf numFmtId="0" fontId="3" fillId="4" borderId="1" xfId="0" applyFont="1" applyFill="1" applyBorder="1"/>
    <xf numFmtId="170" fontId="3" fillId="4" borderId="1" xfId="0" applyNumberFormat="1" applyFont="1" applyFill="1" applyBorder="1"/>
    <xf numFmtId="43" fontId="3" fillId="4" borderId="1" xfId="1" applyFont="1" applyFill="1" applyBorder="1"/>
    <xf numFmtId="170" fontId="3" fillId="8" borderId="2" xfId="0" applyNumberFormat="1" applyFont="1" applyFill="1" applyBorder="1"/>
    <xf numFmtId="4" fontId="2" fillId="0" borderId="0" xfId="0" applyNumberFormat="1" applyFont="1"/>
    <xf numFmtId="0" fontId="3" fillId="0" borderId="5" xfId="0" applyFont="1" applyBorder="1"/>
    <xf numFmtId="172" fontId="2" fillId="0" borderId="0" xfId="4" applyNumberFormat="1" applyFont="1"/>
    <xf numFmtId="172" fontId="3" fillId="0" borderId="5" xfId="4" applyNumberFormat="1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7" fillId="0" borderId="0" xfId="0" applyFont="1"/>
    <xf numFmtId="0" fontId="13" fillId="6" borderId="0" xfId="0" applyFont="1" applyFill="1"/>
    <xf numFmtId="0" fontId="13" fillId="6" borderId="0" xfId="0" applyFont="1" applyFill="1" applyAlignment="1">
      <alignment wrapText="1"/>
    </xf>
    <xf numFmtId="0" fontId="13" fillId="6" borderId="0" xfId="0" applyFont="1" applyFill="1" applyAlignment="1">
      <alignment horizontal="center" wrapText="1"/>
    </xf>
    <xf numFmtId="43" fontId="8" fillId="0" borderId="0" xfId="0" applyNumberFormat="1" applyFont="1"/>
    <xf numFmtId="0" fontId="7" fillId="0" borderId="5" xfId="0" applyFont="1" applyBorder="1"/>
    <xf numFmtId="0" fontId="8" fillId="0" borderId="19" xfId="0" applyFont="1" applyBorder="1"/>
    <xf numFmtId="43" fontId="8" fillId="0" borderId="0" xfId="1" applyFont="1"/>
    <xf numFmtId="0" fontId="7" fillId="9" borderId="0" xfId="0" applyFont="1" applyFill="1" applyAlignment="1">
      <alignment horizontal="left" vertical="top"/>
    </xf>
    <xf numFmtId="175" fontId="19" fillId="13" borderId="0" xfId="8" applyNumberFormat="1" applyFont="1" applyFill="1" applyAlignment="1">
      <alignment horizontal="right"/>
    </xf>
    <xf numFmtId="0" fontId="22" fillId="0" borderId="0" xfId="3" applyFont="1" applyAlignment="1">
      <alignment vertical="top"/>
    </xf>
    <xf numFmtId="173" fontId="22" fillId="0" borderId="0" xfId="12" applyNumberFormat="1" applyFont="1" applyAlignment="1">
      <alignment vertical="top"/>
    </xf>
    <xf numFmtId="0" fontId="22" fillId="0" borderId="0" xfId="12" applyNumberFormat="1" applyFont="1" applyAlignment="1">
      <alignment horizontal="center" vertical="top"/>
    </xf>
    <xf numFmtId="0" fontId="22" fillId="0" borderId="0" xfId="3" applyFont="1" applyAlignment="1">
      <alignment horizontal="left" vertical="top"/>
    </xf>
    <xf numFmtId="166" fontId="22" fillId="0" borderId="0" xfId="12" applyFont="1" applyAlignment="1">
      <alignment vertical="top"/>
    </xf>
    <xf numFmtId="0" fontId="22" fillId="0" borderId="0" xfId="3" applyFont="1"/>
    <xf numFmtId="0" fontId="22" fillId="0" borderId="0" xfId="3" applyFont="1" applyAlignment="1">
      <alignment horizontal="center" vertical="top"/>
    </xf>
    <xf numFmtId="0" fontId="22" fillId="0" borderId="0" xfId="3" applyFont="1" applyAlignment="1">
      <alignment horizontal="left" vertical="top" wrapText="1"/>
    </xf>
    <xf numFmtId="0" fontId="11" fillId="0" borderId="0" xfId="3" applyFont="1" applyAlignment="1">
      <alignment vertical="top"/>
    </xf>
    <xf numFmtId="0" fontId="23" fillId="0" borderId="0" xfId="3" applyFont="1" applyAlignment="1">
      <alignment horizontal="center" vertical="top"/>
    </xf>
    <xf numFmtId="0" fontId="23" fillId="0" borderId="19" xfId="3" applyFont="1" applyBorder="1" applyAlignment="1">
      <alignment vertical="top"/>
    </xf>
    <xf numFmtId="0" fontId="23" fillId="0" borderId="19" xfId="3" applyFont="1" applyBorder="1" applyAlignment="1">
      <alignment horizontal="left" vertical="top" wrapText="1"/>
    </xf>
    <xf numFmtId="0" fontId="23" fillId="0" borderId="19" xfId="3" applyFont="1" applyBorder="1" applyAlignment="1">
      <alignment vertical="top" wrapText="1"/>
    </xf>
    <xf numFmtId="0" fontId="23" fillId="0" borderId="19" xfId="3" applyFont="1" applyBorder="1" applyAlignment="1">
      <alignment horizontal="center" vertical="top" wrapText="1"/>
    </xf>
    <xf numFmtId="0" fontId="23" fillId="0" borderId="35" xfId="3" applyFont="1" applyBorder="1" applyAlignment="1">
      <alignment vertical="top" wrapText="1"/>
    </xf>
    <xf numFmtId="0" fontId="23" fillId="0" borderId="0" xfId="3" applyFont="1" applyAlignment="1">
      <alignment vertical="top" wrapText="1"/>
    </xf>
    <xf numFmtId="0" fontId="23" fillId="0" borderId="0" xfId="3" applyFont="1"/>
    <xf numFmtId="0" fontId="23" fillId="0" borderId="0" xfId="3" applyFont="1" applyAlignment="1">
      <alignment vertical="top"/>
    </xf>
    <xf numFmtId="0" fontId="22" fillId="0" borderId="19" xfId="3" applyFont="1" applyBorder="1" applyAlignment="1">
      <alignment vertical="top"/>
    </xf>
    <xf numFmtId="165" fontId="8" fillId="0" borderId="19" xfId="13" applyFont="1" applyBorder="1" applyAlignment="1">
      <alignment vertical="top"/>
    </xf>
    <xf numFmtId="9" fontId="8" fillId="0" borderId="19" xfId="14" applyFont="1" applyBorder="1" applyAlignment="1">
      <alignment horizontal="center" vertical="top"/>
    </xf>
    <xf numFmtId="166" fontId="8" fillId="0" borderId="35" xfId="12" applyFont="1" applyBorder="1" applyAlignment="1">
      <alignment vertical="top"/>
    </xf>
    <xf numFmtId="165" fontId="8" fillId="0" borderId="19" xfId="13" applyFont="1" applyBorder="1" applyAlignment="1">
      <alignment horizontal="right"/>
    </xf>
    <xf numFmtId="0" fontId="22" fillId="0" borderId="19" xfId="3" applyFont="1" applyBorder="1" applyAlignment="1">
      <alignment horizontal="right" vertical="top" wrapText="1"/>
    </xf>
    <xf numFmtId="165" fontId="8" fillId="0" borderId="19" xfId="13" applyFont="1" applyBorder="1"/>
    <xf numFmtId="9" fontId="8" fillId="0" borderId="19" xfId="2" applyFont="1" applyBorder="1" applyAlignment="1">
      <alignment horizontal="right" vertical="top"/>
    </xf>
    <xf numFmtId="165" fontId="22" fillId="0" borderId="19" xfId="3" applyNumberFormat="1" applyFont="1" applyBorder="1" applyAlignment="1">
      <alignment vertical="top"/>
    </xf>
    <xf numFmtId="165" fontId="22" fillId="0" borderId="19" xfId="5" applyFont="1" applyBorder="1" applyAlignment="1">
      <alignment vertical="top"/>
    </xf>
    <xf numFmtId="0" fontId="22" fillId="0" borderId="19" xfId="3" applyFont="1" applyBorder="1"/>
    <xf numFmtId="0" fontId="22" fillId="0" borderId="35" xfId="3" applyFont="1" applyBorder="1"/>
    <xf numFmtId="0" fontId="22" fillId="0" borderId="0" xfId="12" applyNumberFormat="1" applyFont="1" applyAlignment="1">
      <alignment vertical="top"/>
    </xf>
    <xf numFmtId="0" fontId="22" fillId="0" borderId="36" xfId="3" applyFont="1" applyBorder="1" applyAlignment="1">
      <alignment vertical="top"/>
    </xf>
    <xf numFmtId="173" fontId="22" fillId="0" borderId="0" xfId="12" applyNumberFormat="1" applyFont="1" applyBorder="1" applyAlignment="1">
      <alignment vertical="top"/>
    </xf>
    <xf numFmtId="166" fontId="22" fillId="0" borderId="0" xfId="12" applyFont="1" applyBorder="1" applyAlignment="1">
      <alignment vertical="top"/>
    </xf>
    <xf numFmtId="0" fontId="22" fillId="0" borderId="19" xfId="3" applyFont="1" applyBorder="1" applyAlignment="1">
      <alignment horizontal="left" vertical="top" wrapText="1"/>
    </xf>
    <xf numFmtId="0" fontId="22" fillId="0" borderId="19" xfId="3" applyFont="1" applyBorder="1" applyAlignment="1">
      <alignment horizontal="center" vertical="top"/>
    </xf>
    <xf numFmtId="0" fontId="23" fillId="0" borderId="19" xfId="3" applyFont="1" applyBorder="1" applyAlignment="1">
      <alignment horizontal="center" vertical="top"/>
    </xf>
    <xf numFmtId="173" fontId="23" fillId="0" borderId="19" xfId="12" applyNumberFormat="1" applyFont="1" applyBorder="1" applyAlignment="1">
      <alignment vertical="top"/>
    </xf>
    <xf numFmtId="0" fontId="23" fillId="0" borderId="19" xfId="12" applyNumberFormat="1" applyFont="1" applyBorder="1" applyAlignment="1">
      <alignment vertical="top"/>
    </xf>
    <xf numFmtId="0" fontId="23" fillId="0" borderId="19" xfId="3" applyFont="1" applyBorder="1" applyAlignment="1">
      <alignment horizontal="left" vertical="top"/>
    </xf>
    <xf numFmtId="0" fontId="23" fillId="0" borderId="35" xfId="3" applyFont="1" applyBorder="1" applyAlignment="1">
      <alignment vertical="top"/>
    </xf>
    <xf numFmtId="173" fontId="23" fillId="0" borderId="0" xfId="12" applyNumberFormat="1" applyFont="1" applyBorder="1" applyAlignment="1">
      <alignment vertical="top"/>
    </xf>
    <xf numFmtId="166" fontId="23" fillId="0" borderId="0" xfId="12" applyFont="1" applyBorder="1" applyAlignment="1">
      <alignment vertical="top"/>
    </xf>
    <xf numFmtId="0" fontId="23" fillId="0" borderId="37" xfId="3" applyFont="1" applyBorder="1" applyAlignment="1">
      <alignment vertical="top"/>
    </xf>
    <xf numFmtId="173" fontId="22" fillId="0" borderId="19" xfId="12" applyNumberFormat="1" applyFont="1" applyBorder="1" applyAlignment="1">
      <alignment vertical="top"/>
    </xf>
    <xf numFmtId="0" fontId="22" fillId="0" borderId="37" xfId="3" applyFont="1" applyBorder="1" applyAlignment="1">
      <alignment vertical="top"/>
    </xf>
    <xf numFmtId="9" fontId="24" fillId="0" borderId="19" xfId="14" applyFont="1" applyBorder="1" applyAlignment="1">
      <alignment horizontal="center" vertical="top"/>
    </xf>
    <xf numFmtId="0" fontId="22" fillId="0" borderId="19" xfId="12" applyNumberFormat="1" applyFont="1" applyBorder="1" applyAlignment="1">
      <alignment vertical="top"/>
    </xf>
    <xf numFmtId="0" fontId="22" fillId="0" borderId="19" xfId="3" applyFont="1" applyBorder="1" applyAlignment="1">
      <alignment horizontal="left" vertical="top"/>
    </xf>
    <xf numFmtId="0" fontId="22" fillId="0" borderId="35" xfId="3" applyFont="1" applyBorder="1" applyAlignment="1">
      <alignment vertical="top"/>
    </xf>
    <xf numFmtId="0" fontId="22" fillId="0" borderId="38" xfId="3" applyFont="1" applyBorder="1" applyAlignment="1">
      <alignment vertical="top"/>
    </xf>
    <xf numFmtId="0" fontId="22" fillId="0" borderId="38" xfId="3" applyFont="1" applyBorder="1" applyAlignment="1">
      <alignment horizontal="left" vertical="top" wrapText="1"/>
    </xf>
    <xf numFmtId="0" fontId="22" fillId="0" borderId="38" xfId="3" applyFont="1" applyBorder="1" applyAlignment="1">
      <alignment horizontal="center" vertical="top"/>
    </xf>
    <xf numFmtId="173" fontId="22" fillId="0" borderId="38" xfId="12" applyNumberFormat="1" applyFont="1" applyBorder="1" applyAlignment="1">
      <alignment vertical="top"/>
    </xf>
    <xf numFmtId="0" fontId="22" fillId="0" borderId="38" xfId="12" applyNumberFormat="1" applyFont="1" applyBorder="1" applyAlignment="1">
      <alignment vertical="top"/>
    </xf>
    <xf numFmtId="0" fontId="22" fillId="0" borderId="38" xfId="3" applyFont="1" applyBorder="1" applyAlignment="1">
      <alignment horizontal="left" vertical="top"/>
    </xf>
    <xf numFmtId="166" fontId="8" fillId="0" borderId="39" xfId="12" applyFont="1" applyBorder="1"/>
    <xf numFmtId="0" fontId="22" fillId="0" borderId="3" xfId="3" applyFont="1" applyBorder="1" applyAlignment="1">
      <alignment vertical="top"/>
    </xf>
    <xf numFmtId="0" fontId="22" fillId="0" borderId="3" xfId="3" applyFont="1" applyBorder="1" applyAlignment="1">
      <alignment horizontal="left" vertical="top" wrapText="1"/>
    </xf>
    <xf numFmtId="0" fontId="22" fillId="0" borderId="3" xfId="3" applyFont="1" applyBorder="1" applyAlignment="1">
      <alignment horizontal="center" vertical="top"/>
    </xf>
    <xf numFmtId="173" fontId="22" fillId="0" borderId="3" xfId="12" applyNumberFormat="1" applyFont="1" applyBorder="1" applyAlignment="1">
      <alignment vertical="top"/>
    </xf>
    <xf numFmtId="0" fontId="22" fillId="0" borderId="3" xfId="12" applyNumberFormat="1" applyFont="1" applyBorder="1" applyAlignment="1">
      <alignment vertical="top"/>
    </xf>
    <xf numFmtId="0" fontId="22" fillId="0" borderId="37" xfId="3" applyFont="1" applyBorder="1" applyAlignment="1">
      <alignment horizontal="left" vertical="top"/>
    </xf>
    <xf numFmtId="0" fontId="22" fillId="0" borderId="29" xfId="3" applyFont="1" applyBorder="1" applyAlignment="1">
      <alignment vertical="top"/>
    </xf>
    <xf numFmtId="0" fontId="22" fillId="0" borderId="0" xfId="3" applyFont="1" applyAlignment="1">
      <alignment horizontal="left"/>
    </xf>
    <xf numFmtId="9" fontId="8" fillId="0" borderId="19" xfId="2" applyFont="1" applyBorder="1" applyAlignment="1">
      <alignment horizontal="center" vertical="top"/>
    </xf>
    <xf numFmtId="0" fontId="21" fillId="16" borderId="19" xfId="3" applyFont="1" applyFill="1" applyBorder="1" applyAlignment="1">
      <alignment vertical="top"/>
    </xf>
    <xf numFmtId="166" fontId="22" fillId="16" borderId="35" xfId="3" applyNumberFormat="1" applyFont="1" applyFill="1" applyBorder="1"/>
    <xf numFmtId="0" fontId="14" fillId="6" borderId="0" xfId="0" applyFont="1" applyFill="1"/>
    <xf numFmtId="0" fontId="25" fillId="6" borderId="0" xfId="0" applyFont="1" applyFill="1"/>
    <xf numFmtId="169" fontId="8" fillId="0" borderId="0" xfId="1" applyNumberFormat="1" applyFont="1"/>
    <xf numFmtId="43" fontId="8" fillId="7" borderId="0" xfId="0" applyNumberFormat="1" applyFont="1" applyFill="1"/>
    <xf numFmtId="43" fontId="8" fillId="3" borderId="0" xfId="0" applyNumberFormat="1" applyFont="1" applyFill="1"/>
    <xf numFmtId="167" fontId="8" fillId="0" borderId="0" xfId="0" applyNumberFormat="1" applyFont="1"/>
    <xf numFmtId="167" fontId="8" fillId="0" borderId="0" xfId="1" applyNumberFormat="1" applyFont="1"/>
    <xf numFmtId="0" fontId="7" fillId="0" borderId="1" xfId="0" applyFont="1" applyBorder="1"/>
    <xf numFmtId="167" fontId="7" fillId="0" borderId="1" xfId="1" applyNumberFormat="1" applyFont="1" applyBorder="1"/>
    <xf numFmtId="169" fontId="7" fillId="0" borderId="1" xfId="0" applyNumberFormat="1" applyFont="1" applyBorder="1"/>
    <xf numFmtId="43" fontId="7" fillId="0" borderId="1" xfId="0" applyNumberFormat="1" applyFont="1" applyBorder="1"/>
    <xf numFmtId="43" fontId="7" fillId="7" borderId="1" xfId="0" applyNumberFormat="1" applyFont="1" applyFill="1" applyBorder="1"/>
    <xf numFmtId="43" fontId="7" fillId="3" borderId="1" xfId="0" applyNumberFormat="1" applyFont="1" applyFill="1" applyBorder="1"/>
    <xf numFmtId="169" fontId="8" fillId="0" borderId="0" xfId="0" applyNumberFormat="1" applyFont="1"/>
    <xf numFmtId="43" fontId="8" fillId="7" borderId="0" xfId="1" applyFont="1" applyFill="1"/>
    <xf numFmtId="0" fontId="7" fillId="0" borderId="3" xfId="0" applyFont="1" applyBorder="1"/>
    <xf numFmtId="167" fontId="7" fillId="0" borderId="3" xfId="1" applyNumberFormat="1" applyFont="1" applyBorder="1"/>
    <xf numFmtId="43" fontId="7" fillId="0" borderId="3" xfId="1" applyFont="1" applyBorder="1"/>
    <xf numFmtId="43" fontId="7" fillId="0" borderId="3" xfId="0" applyNumberFormat="1" applyFont="1" applyBorder="1"/>
    <xf numFmtId="43" fontId="7" fillId="7" borderId="3" xfId="0" applyNumberFormat="1" applyFont="1" applyFill="1" applyBorder="1"/>
    <xf numFmtId="43" fontId="7" fillId="7" borderId="3" xfId="1" applyFont="1" applyFill="1" applyBorder="1"/>
    <xf numFmtId="167" fontId="7" fillId="0" borderId="5" xfId="0" applyNumberFormat="1" applyFont="1" applyBorder="1"/>
    <xf numFmtId="43" fontId="7" fillId="0" borderId="5" xfId="0" applyNumberFormat="1" applyFont="1" applyBorder="1"/>
    <xf numFmtId="43" fontId="7" fillId="7" borderId="5" xfId="0" applyNumberFormat="1" applyFont="1" applyFill="1" applyBorder="1"/>
    <xf numFmtId="0" fontId="8" fillId="0" borderId="6" xfId="0" applyFont="1" applyBorder="1"/>
    <xf numFmtId="167" fontId="8" fillId="0" borderId="7" xfId="1" applyNumberFormat="1" applyFont="1" applyBorder="1"/>
    <xf numFmtId="43" fontId="8" fillId="0" borderId="7" xfId="1" applyFont="1" applyBorder="1"/>
    <xf numFmtId="0" fontId="8" fillId="0" borderId="8" xfId="0" applyFont="1" applyBorder="1"/>
    <xf numFmtId="167" fontId="8" fillId="0" borderId="0" xfId="1" applyNumberFormat="1" applyFont="1" applyBorder="1"/>
    <xf numFmtId="43" fontId="8" fillId="0" borderId="0" xfId="1" applyFont="1" applyBorder="1"/>
    <xf numFmtId="0" fontId="8" fillId="0" borderId="9" xfId="0" applyFont="1" applyBorder="1"/>
    <xf numFmtId="167" fontId="8" fillId="0" borderId="10" xfId="1" applyNumberFormat="1" applyFont="1" applyBorder="1"/>
    <xf numFmtId="43" fontId="8" fillId="0" borderId="10" xfId="1" applyFont="1" applyBorder="1"/>
    <xf numFmtId="0" fontId="8" fillId="0" borderId="0" xfId="3" applyFont="1"/>
    <xf numFmtId="0" fontId="2" fillId="10" borderId="0" xfId="0" applyFont="1" applyFill="1"/>
    <xf numFmtId="172" fontId="2" fillId="0" borderId="0" xfId="0" applyNumberFormat="1" applyFont="1"/>
    <xf numFmtId="0" fontId="8" fillId="9" borderId="0" xfId="0" applyFont="1" applyFill="1"/>
    <xf numFmtId="0" fontId="8" fillId="0" borderId="19" xfId="0" applyFont="1" applyBorder="1" applyAlignment="1">
      <alignment vertical="top"/>
    </xf>
    <xf numFmtId="0" fontId="2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6" fontId="2" fillId="0" borderId="0" xfId="0" applyNumberFormat="1" applyFont="1"/>
    <xf numFmtId="0" fontId="7" fillId="0" borderId="0" xfId="3" applyFont="1" applyAlignment="1">
      <alignment vertical="top"/>
    </xf>
    <xf numFmtId="0" fontId="8" fillId="0" borderId="0" xfId="3" applyFont="1" applyAlignment="1">
      <alignment vertical="top"/>
    </xf>
    <xf numFmtId="0" fontId="13" fillId="6" borderId="0" xfId="3" applyFont="1" applyFill="1" applyAlignment="1">
      <alignment vertical="top"/>
    </xf>
    <xf numFmtId="0" fontId="8" fillId="0" borderId="0" xfId="3" applyFont="1" applyAlignment="1">
      <alignment vertical="top" wrapText="1"/>
    </xf>
    <xf numFmtId="172" fontId="8" fillId="0" borderId="0" xfId="4" applyNumberFormat="1" applyFont="1" applyAlignment="1">
      <alignment vertical="top"/>
    </xf>
    <xf numFmtId="167" fontId="8" fillId="0" borderId="0" xfId="1" applyNumberFormat="1" applyFont="1" applyAlignment="1">
      <alignment vertical="top"/>
    </xf>
    <xf numFmtId="172" fontId="8" fillId="0" borderId="0" xfId="3" applyNumberFormat="1" applyFont="1" applyAlignment="1">
      <alignment vertical="top"/>
    </xf>
    <xf numFmtId="0" fontId="13" fillId="6" borderId="0" xfId="3" applyFont="1" applyFill="1" applyAlignment="1">
      <alignment horizontal="right" vertical="top"/>
    </xf>
    <xf numFmtId="172" fontId="8" fillId="0" borderId="0" xfId="4" applyNumberFormat="1" applyFont="1" applyAlignment="1">
      <alignment horizontal="right" vertical="top"/>
    </xf>
    <xf numFmtId="0" fontId="8" fillId="0" borderId="5" xfId="3" applyFont="1" applyBorder="1" applyAlignment="1">
      <alignment vertical="top"/>
    </xf>
    <xf numFmtId="172" fontId="7" fillId="0" borderId="5" xfId="4" applyNumberFormat="1" applyFont="1" applyBorder="1" applyAlignment="1">
      <alignment vertical="top"/>
    </xf>
    <xf numFmtId="15" fontId="8" fillId="0" borderId="0" xfId="3" applyNumberFormat="1" applyFont="1" applyAlignment="1">
      <alignment vertical="top"/>
    </xf>
    <xf numFmtId="0" fontId="7" fillId="2" borderId="0" xfId="3" applyFont="1" applyFill="1" applyAlignment="1">
      <alignment vertical="top"/>
    </xf>
    <xf numFmtId="0" fontId="7" fillId="2" borderId="0" xfId="3" applyFont="1" applyFill="1" applyAlignment="1">
      <alignment horizontal="right" vertical="top"/>
    </xf>
    <xf numFmtId="0" fontId="8" fillId="0" borderId="1" xfId="3" applyFont="1" applyBorder="1" applyAlignment="1">
      <alignment vertical="top"/>
    </xf>
    <xf numFmtId="167" fontId="7" fillId="0" borderId="1" xfId="3" applyNumberFormat="1" applyFont="1" applyBorder="1" applyAlignment="1">
      <alignment vertical="top"/>
    </xf>
    <xf numFmtId="0" fontId="7" fillId="0" borderId="1" xfId="3" applyFont="1" applyBorder="1" applyAlignment="1">
      <alignment vertical="top"/>
    </xf>
    <xf numFmtId="167" fontId="8" fillId="0" borderId="1" xfId="3" applyNumberFormat="1" applyFont="1" applyBorder="1" applyAlignment="1">
      <alignment vertical="top"/>
    </xf>
    <xf numFmtId="0" fontId="7" fillId="0" borderId="2" xfId="3" applyFont="1" applyBorder="1" applyAlignment="1">
      <alignment vertical="top"/>
    </xf>
    <xf numFmtId="167" fontId="7" fillId="0" borderId="2" xfId="3" applyNumberFormat="1" applyFont="1" applyBorder="1" applyAlignment="1">
      <alignment vertical="top"/>
    </xf>
    <xf numFmtId="0" fontId="26" fillId="0" borderId="0" xfId="0" applyFont="1"/>
    <xf numFmtId="0" fontId="9" fillId="0" borderId="0" xfId="0" applyFont="1"/>
    <xf numFmtId="166" fontId="8" fillId="0" borderId="0" xfId="0" applyNumberFormat="1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6" borderId="0" xfId="0" applyFont="1" applyFill="1"/>
    <xf numFmtId="0" fontId="30" fillId="6" borderId="0" xfId="0" applyFont="1" applyFill="1" applyAlignment="1">
      <alignment horizontal="right"/>
    </xf>
    <xf numFmtId="0" fontId="30" fillId="6" borderId="0" xfId="0" applyFont="1" applyFill="1" applyAlignment="1">
      <alignment horizontal="right" wrapText="1"/>
    </xf>
    <xf numFmtId="0" fontId="30" fillId="6" borderId="0" xfId="0" applyFont="1" applyFill="1" applyAlignment="1">
      <alignment horizontal="center" wrapText="1"/>
    </xf>
    <xf numFmtId="167" fontId="27" fillId="0" borderId="0" xfId="1" applyNumberFormat="1" applyFont="1"/>
    <xf numFmtId="167" fontId="27" fillId="8" borderId="0" xfId="1" applyNumberFormat="1" applyFont="1" applyFill="1"/>
    <xf numFmtId="0" fontId="29" fillId="3" borderId="1" xfId="0" applyFont="1" applyFill="1" applyBorder="1"/>
    <xf numFmtId="167" fontId="29" fillId="3" borderId="1" xfId="1" applyNumberFormat="1" applyFont="1" applyFill="1" applyBorder="1"/>
    <xf numFmtId="167" fontId="29" fillId="8" borderId="1" xfId="1" applyNumberFormat="1" applyFont="1" applyFill="1" applyBorder="1"/>
    <xf numFmtId="0" fontId="31" fillId="0" borderId="0" xfId="0" applyFont="1"/>
    <xf numFmtId="0" fontId="27" fillId="0" borderId="11" xfId="0" applyFont="1" applyBorder="1"/>
    <xf numFmtId="0" fontId="27" fillId="0" borderId="12" xfId="0" applyFont="1" applyBorder="1"/>
    <xf numFmtId="167" fontId="27" fillId="8" borderId="13" xfId="1" applyNumberFormat="1" applyFont="1" applyFill="1" applyBorder="1"/>
    <xf numFmtId="0" fontId="27" fillId="0" borderId="14" xfId="0" applyFont="1" applyBorder="1"/>
    <xf numFmtId="167" fontId="27" fillId="0" borderId="0" xfId="1" applyNumberFormat="1" applyFont="1" applyBorder="1"/>
    <xf numFmtId="167" fontId="27" fillId="0" borderId="0" xfId="1" applyNumberFormat="1" applyFont="1" applyFill="1" applyBorder="1"/>
    <xf numFmtId="167" fontId="27" fillId="8" borderId="15" xfId="1" applyNumberFormat="1" applyFont="1" applyFill="1" applyBorder="1"/>
    <xf numFmtId="167" fontId="27" fillId="0" borderId="0" xfId="0" applyNumberFormat="1" applyFont="1"/>
    <xf numFmtId="0" fontId="27" fillId="0" borderId="16" xfId="0" applyFont="1" applyBorder="1"/>
    <xf numFmtId="167" fontId="27" fillId="0" borderId="17" xfId="0" applyNumberFormat="1" applyFont="1" applyBorder="1"/>
    <xf numFmtId="167" fontId="27" fillId="8" borderId="18" xfId="1" applyNumberFormat="1" applyFont="1" applyFill="1" applyBorder="1"/>
    <xf numFmtId="43" fontId="27" fillId="0" borderId="12" xfId="1" applyFont="1" applyBorder="1"/>
    <xf numFmtId="167" fontId="27" fillId="0" borderId="12" xfId="1" applyNumberFormat="1" applyFont="1" applyBorder="1"/>
    <xf numFmtId="167" fontId="27" fillId="8" borderId="13" xfId="0" applyNumberFormat="1" applyFont="1" applyFill="1" applyBorder="1"/>
    <xf numFmtId="43" fontId="27" fillId="0" borderId="0" xfId="1" applyFont="1" applyBorder="1"/>
    <xf numFmtId="167" fontId="27" fillId="8" borderId="15" xfId="0" applyNumberFormat="1" applyFont="1" applyFill="1" applyBorder="1"/>
    <xf numFmtId="169" fontId="27" fillId="0" borderId="0" xfId="1" applyNumberFormat="1" applyFont="1" applyBorder="1"/>
    <xf numFmtId="169" fontId="27" fillId="8" borderId="15" xfId="1" applyNumberFormat="1" applyFont="1" applyFill="1" applyBorder="1"/>
    <xf numFmtId="167" fontId="27" fillId="0" borderId="0" xfId="1" applyNumberFormat="1" applyFont="1" applyFill="1" applyBorder="1" applyAlignment="1">
      <alignment horizontal="right"/>
    </xf>
    <xf numFmtId="43" fontId="27" fillId="8" borderId="15" xfId="0" applyNumberFormat="1" applyFont="1" applyFill="1" applyBorder="1"/>
    <xf numFmtId="168" fontId="27" fillId="0" borderId="0" xfId="2" applyNumberFormat="1" applyFont="1" applyFill="1" applyBorder="1" applyAlignment="1">
      <alignment horizontal="right"/>
    </xf>
    <xf numFmtId="168" fontId="27" fillId="0" borderId="0" xfId="2" applyNumberFormat="1" applyFont="1" applyBorder="1"/>
    <xf numFmtId="168" fontId="27" fillId="8" borderId="15" xfId="2" applyNumberFormat="1" applyFont="1" applyFill="1" applyBorder="1"/>
    <xf numFmtId="43" fontId="27" fillId="0" borderId="17" xfId="1" applyFont="1" applyBorder="1"/>
    <xf numFmtId="0" fontId="27" fillId="0" borderId="17" xfId="0" applyFont="1" applyBorder="1"/>
    <xf numFmtId="0" fontId="27" fillId="8" borderId="18" xfId="0" applyFont="1" applyFill="1" applyBorder="1"/>
    <xf numFmtId="43" fontId="27" fillId="0" borderId="0" xfId="1" applyFont="1" applyBorder="1" applyAlignment="1">
      <alignment horizontal="right"/>
    </xf>
    <xf numFmtId="43" fontId="27" fillId="0" borderId="0" xfId="0" applyNumberFormat="1" applyFont="1"/>
    <xf numFmtId="0" fontId="9" fillId="0" borderId="19" xfId="0" applyFont="1" applyBorder="1"/>
    <xf numFmtId="0" fontId="10" fillId="15" borderId="41" xfId="0" applyFont="1" applyFill="1" applyBorder="1" applyAlignment="1">
      <alignment vertical="top" wrapText="1"/>
    </xf>
    <xf numFmtId="0" fontId="10" fillId="15" borderId="42" xfId="0" applyFont="1" applyFill="1" applyBorder="1" applyAlignment="1">
      <alignment vertical="top" wrapText="1"/>
    </xf>
    <xf numFmtId="0" fontId="9" fillId="0" borderId="19" xfId="0" applyFont="1" applyBorder="1" applyAlignment="1">
      <alignment vertical="top"/>
    </xf>
    <xf numFmtId="0" fontId="10" fillId="15" borderId="40" xfId="0" applyFont="1" applyFill="1" applyBorder="1" applyAlignment="1">
      <alignment vertical="top"/>
    </xf>
    <xf numFmtId="0" fontId="9" fillId="0" borderId="37" xfId="0" applyFont="1" applyBorder="1" applyAlignment="1">
      <alignment vertical="top"/>
    </xf>
    <xf numFmtId="0" fontId="10" fillId="15" borderId="29" xfId="0" applyFont="1" applyFill="1" applyBorder="1" applyAlignment="1">
      <alignment vertical="top"/>
    </xf>
    <xf numFmtId="0" fontId="12" fillId="15" borderId="29" xfId="0" applyFont="1" applyFill="1" applyBorder="1" applyAlignment="1">
      <alignment vertical="top"/>
    </xf>
    <xf numFmtId="167" fontId="12" fillId="12" borderId="29" xfId="1" applyNumberFormat="1" applyFont="1" applyFill="1" applyBorder="1" applyAlignment="1">
      <alignment vertical="top"/>
    </xf>
    <xf numFmtId="167" fontId="12" fillId="15" borderId="29" xfId="1" applyNumberFormat="1" applyFont="1" applyFill="1" applyBorder="1" applyAlignment="1">
      <alignment vertical="top"/>
    </xf>
    <xf numFmtId="0" fontId="12" fillId="15" borderId="29" xfId="0" applyFont="1" applyFill="1" applyBorder="1" applyAlignment="1">
      <alignment vertical="top" wrapText="1"/>
    </xf>
    <xf numFmtId="0" fontId="12" fillId="17" borderId="19" xfId="0" applyFont="1" applyFill="1" applyBorder="1" applyAlignment="1">
      <alignment vertical="top"/>
    </xf>
    <xf numFmtId="43" fontId="12" fillId="17" borderId="19" xfId="1" applyFont="1" applyFill="1" applyBorder="1" applyAlignment="1">
      <alignment vertical="top"/>
    </xf>
    <xf numFmtId="173" fontId="12" fillId="17" borderId="19" xfId="1" applyNumberFormat="1" applyFont="1" applyFill="1" applyBorder="1" applyAlignment="1">
      <alignment vertical="top"/>
    </xf>
    <xf numFmtId="0" fontId="12" fillId="17" borderId="19" xfId="0" applyFont="1" applyFill="1" applyBorder="1" applyAlignment="1">
      <alignment vertical="top" wrapText="1"/>
    </xf>
    <xf numFmtId="0" fontId="12" fillId="0" borderId="19" xfId="0" applyFont="1" applyBorder="1" applyAlignment="1">
      <alignment vertical="top" wrapText="1"/>
    </xf>
    <xf numFmtId="166" fontId="12" fillId="17" borderId="19" xfId="1" applyNumberFormat="1" applyFont="1" applyFill="1" applyBorder="1" applyAlignment="1">
      <alignment vertical="top"/>
    </xf>
    <xf numFmtId="0" fontId="32" fillId="0" borderId="19" xfId="0" applyFont="1" applyBorder="1" applyAlignment="1">
      <alignment vertical="top" wrapText="1"/>
    </xf>
    <xf numFmtId="173" fontId="10" fillId="15" borderId="19" xfId="1" applyNumberFormat="1" applyFont="1" applyFill="1" applyBorder="1" applyAlignment="1">
      <alignment vertical="top"/>
    </xf>
    <xf numFmtId="0" fontId="9" fillId="0" borderId="19" xfId="0" applyFont="1" applyBorder="1" applyAlignment="1">
      <alignment vertical="top" wrapText="1"/>
    </xf>
    <xf numFmtId="0" fontId="10" fillId="12" borderId="41" xfId="0" applyFont="1" applyFill="1" applyBorder="1" applyAlignment="1">
      <alignment vertical="top" wrapText="1"/>
    </xf>
    <xf numFmtId="9" fontId="27" fillId="0" borderId="0" xfId="2" applyFont="1"/>
    <xf numFmtId="0" fontId="27" fillId="12" borderId="14" xfId="0" applyFont="1" applyFill="1" applyBorder="1"/>
    <xf numFmtId="9" fontId="27" fillId="0" borderId="0" xfId="2" applyFont="1" applyFill="1"/>
    <xf numFmtId="43" fontId="27" fillId="0" borderId="0" xfId="1" applyFont="1"/>
    <xf numFmtId="9" fontId="27" fillId="0" borderId="12" xfId="2" applyFont="1" applyBorder="1"/>
    <xf numFmtId="166" fontId="27" fillId="0" borderId="0" xfId="0" applyNumberFormat="1" applyFont="1"/>
    <xf numFmtId="169" fontId="27" fillId="0" borderId="0" xfId="0" applyNumberFormat="1" applyFont="1"/>
    <xf numFmtId="169" fontId="33" fillId="0" borderId="0" xfId="0" applyNumberFormat="1" applyFont="1"/>
    <xf numFmtId="9" fontId="27" fillId="0" borderId="0" xfId="2" applyFont="1" applyBorder="1"/>
    <xf numFmtId="0" fontId="7" fillId="9" borderId="0" xfId="0" applyFont="1" applyFill="1"/>
    <xf numFmtId="0" fontId="9" fillId="9" borderId="0" xfId="0" applyFont="1" applyFill="1"/>
    <xf numFmtId="0" fontId="8" fillId="9" borderId="0" xfId="0" applyFont="1" applyFill="1" applyAlignment="1">
      <alignment wrapText="1"/>
    </xf>
    <xf numFmtId="43" fontId="12" fillId="9" borderId="0" xfId="1" applyFont="1" applyFill="1" applyAlignment="1">
      <alignment wrapText="1"/>
    </xf>
    <xf numFmtId="173" fontId="12" fillId="9" borderId="0" xfId="1" applyNumberFormat="1" applyFont="1" applyFill="1" applyAlignment="1" applyProtection="1">
      <alignment wrapText="1"/>
    </xf>
    <xf numFmtId="173" fontId="12" fillId="9" borderId="0" xfId="1" applyNumberFormat="1" applyFont="1" applyFill="1" applyAlignment="1">
      <alignment wrapText="1"/>
    </xf>
    <xf numFmtId="0" fontId="10" fillId="9" borderId="0" xfId="6" applyFont="1" applyFill="1"/>
    <xf numFmtId="0" fontId="12" fillId="9" borderId="0" xfId="6" applyFont="1" applyFill="1"/>
    <xf numFmtId="0" fontId="12" fillId="9" borderId="33" xfId="6" applyFont="1" applyFill="1" applyBorder="1"/>
    <xf numFmtId="164" fontId="12" fillId="9" borderId="33" xfId="4" applyNumberFormat="1" applyFont="1" applyFill="1" applyBorder="1" applyAlignment="1" applyProtection="1"/>
    <xf numFmtId="0" fontId="12" fillId="9" borderId="33" xfId="6" applyFont="1" applyFill="1" applyBorder="1" applyAlignment="1">
      <alignment horizontal="left"/>
    </xf>
    <xf numFmtId="164" fontId="12" fillId="9" borderId="33" xfId="6" applyNumberFormat="1" applyFont="1" applyFill="1" applyBorder="1" applyAlignment="1">
      <alignment horizontal="right"/>
    </xf>
    <xf numFmtId="9" fontId="12" fillId="9" borderId="33" xfId="2" applyFont="1" applyFill="1" applyBorder="1" applyAlignment="1" applyProtection="1">
      <alignment horizontal="right"/>
    </xf>
    <xf numFmtId="166" fontId="12" fillId="9" borderId="33" xfId="9" applyNumberFormat="1" applyFont="1" applyFill="1" applyBorder="1" applyAlignment="1" applyProtection="1">
      <alignment horizontal="right"/>
    </xf>
    <xf numFmtId="164" fontId="12" fillId="9" borderId="33" xfId="4" applyNumberFormat="1" applyFont="1" applyFill="1" applyBorder="1" applyAlignment="1" applyProtection="1">
      <alignment horizontal="right"/>
    </xf>
    <xf numFmtId="164" fontId="12" fillId="9" borderId="33" xfId="9" applyNumberFormat="1" applyFont="1" applyFill="1" applyBorder="1" applyAlignment="1" applyProtection="1">
      <alignment horizontal="right"/>
    </xf>
    <xf numFmtId="164" fontId="12" fillId="9" borderId="0" xfId="4" applyNumberFormat="1" applyFont="1" applyFill="1" applyAlignment="1" applyProtection="1">
      <alignment horizontal="right"/>
    </xf>
    <xf numFmtId="0" fontId="10" fillId="9" borderId="3" xfId="6" applyFont="1" applyFill="1" applyBorder="1"/>
    <xf numFmtId="164" fontId="10" fillId="9" borderId="3" xfId="4" applyNumberFormat="1" applyFont="1" applyFill="1" applyBorder="1" applyAlignment="1" applyProtection="1">
      <alignment horizontal="right"/>
    </xf>
    <xf numFmtId="0" fontId="12" fillId="9" borderId="34" xfId="6" applyFont="1" applyFill="1" applyBorder="1"/>
    <xf numFmtId="164" fontId="12" fillId="9" borderId="34" xfId="4" applyNumberFormat="1" applyFont="1" applyFill="1" applyBorder="1" applyAlignment="1" applyProtection="1">
      <alignment horizontal="right"/>
    </xf>
    <xf numFmtId="9" fontId="12" fillId="9" borderId="34" xfId="2" applyFont="1" applyFill="1" applyBorder="1" applyAlignment="1" applyProtection="1">
      <alignment horizontal="right"/>
    </xf>
    <xf numFmtId="164" fontId="12" fillId="9" borderId="34" xfId="10" applyNumberFormat="1" applyFont="1" applyFill="1" applyBorder="1" applyAlignment="1" applyProtection="1">
      <alignment horizontal="right"/>
    </xf>
    <xf numFmtId="9" fontId="12" fillId="9" borderId="0" xfId="2" applyFont="1" applyFill="1" applyAlignment="1" applyProtection="1">
      <alignment horizontal="right"/>
    </xf>
    <xf numFmtId="164" fontId="12" fillId="9" borderId="0" xfId="10" applyNumberFormat="1" applyFont="1" applyFill="1" applyBorder="1" applyAlignment="1" applyProtection="1">
      <alignment horizontal="right"/>
    </xf>
    <xf numFmtId="9" fontId="12" fillId="9" borderId="0" xfId="2" applyFont="1" applyFill="1" applyBorder="1" applyAlignment="1" applyProtection="1">
      <alignment horizontal="right"/>
    </xf>
    <xf numFmtId="164" fontId="12" fillId="9" borderId="33" xfId="10" applyNumberFormat="1" applyFont="1" applyFill="1" applyBorder="1" applyAlignment="1" applyProtection="1">
      <alignment horizontal="right"/>
    </xf>
    <xf numFmtId="176" fontId="12" fillId="9" borderId="34" xfId="4" applyNumberFormat="1" applyFont="1" applyFill="1" applyBorder="1" applyAlignment="1" applyProtection="1">
      <alignment horizontal="right"/>
    </xf>
    <xf numFmtId="164" fontId="12" fillId="9" borderId="0" xfId="10" applyNumberFormat="1" applyFont="1" applyFill="1" applyAlignment="1" applyProtection="1">
      <alignment horizontal="right"/>
    </xf>
    <xf numFmtId="176" fontId="12" fillId="9" borderId="0" xfId="4" applyNumberFormat="1" applyFont="1" applyFill="1" applyAlignment="1" applyProtection="1">
      <alignment horizontal="right"/>
    </xf>
    <xf numFmtId="164" fontId="10" fillId="9" borderId="3" xfId="10" applyNumberFormat="1" applyFont="1" applyFill="1" applyBorder="1" applyAlignment="1" applyProtection="1">
      <alignment horizontal="right"/>
    </xf>
    <xf numFmtId="0" fontId="10" fillId="9" borderId="0" xfId="6" applyFont="1" applyFill="1" applyAlignment="1">
      <alignment horizontal="right"/>
    </xf>
    <xf numFmtId="173" fontId="10" fillId="9" borderId="0" xfId="10" applyNumberFormat="1" applyFont="1" applyFill="1" applyBorder="1" applyAlignment="1" applyProtection="1">
      <alignment horizontal="right"/>
    </xf>
    <xf numFmtId="0" fontId="10" fillId="9" borderId="3" xfId="6" applyFont="1" applyFill="1" applyBorder="1" applyAlignment="1">
      <alignment horizontal="left"/>
    </xf>
    <xf numFmtId="0" fontId="10" fillId="9" borderId="3" xfId="6" applyFont="1" applyFill="1" applyBorder="1" applyAlignment="1">
      <alignment horizontal="center"/>
    </xf>
    <xf numFmtId="168" fontId="12" fillId="9" borderId="0" xfId="6" applyNumberFormat="1" applyFont="1" applyFill="1"/>
    <xf numFmtId="168" fontId="9" fillId="9" borderId="34" xfId="9" applyNumberFormat="1" applyFont="1" applyFill="1" applyBorder="1" applyAlignment="1" applyProtection="1"/>
    <xf numFmtId="173" fontId="12" fillId="9" borderId="0" xfId="4" applyNumberFormat="1" applyFont="1" applyFill="1" applyAlignment="1" applyProtection="1"/>
    <xf numFmtId="166" fontId="9" fillId="9" borderId="33" xfId="10" applyFont="1" applyFill="1" applyBorder="1" applyAlignment="1" applyProtection="1"/>
    <xf numFmtId="173" fontId="12" fillId="9" borderId="33" xfId="4" applyNumberFormat="1" applyFont="1" applyFill="1" applyBorder="1" applyAlignment="1" applyProtection="1"/>
    <xf numFmtId="171" fontId="12" fillId="9" borderId="33" xfId="4" applyFont="1" applyFill="1" applyBorder="1" applyAlignment="1" applyProtection="1"/>
    <xf numFmtId="168" fontId="9" fillId="9" borderId="34" xfId="4" applyNumberFormat="1" applyFont="1" applyFill="1" applyBorder="1" applyAlignment="1" applyProtection="1"/>
    <xf numFmtId="168" fontId="9" fillId="9" borderId="0" xfId="9" applyNumberFormat="1" applyFont="1" applyFill="1" applyAlignment="1" applyProtection="1"/>
    <xf numFmtId="168" fontId="10" fillId="9" borderId="3" xfId="2" applyNumberFormat="1" applyFont="1" applyFill="1" applyBorder="1" applyAlignment="1" applyProtection="1"/>
    <xf numFmtId="173" fontId="9" fillId="9" borderId="34" xfId="4" applyNumberFormat="1" applyFont="1" applyFill="1" applyBorder="1" applyAlignment="1" applyProtection="1"/>
    <xf numFmtId="10" fontId="10" fillId="9" borderId="3" xfId="2" applyNumberFormat="1" applyFont="1" applyFill="1" applyBorder="1" applyAlignment="1" applyProtection="1"/>
    <xf numFmtId="168" fontId="9" fillId="9" borderId="0" xfId="6" applyNumberFormat="1" applyFont="1" applyFill="1"/>
    <xf numFmtId="173" fontId="9" fillId="9" borderId="33" xfId="4" applyNumberFormat="1" applyFont="1" applyFill="1" applyBorder="1" applyAlignment="1" applyProtection="1"/>
    <xf numFmtId="168" fontId="9" fillId="9" borderId="33" xfId="6" applyNumberFormat="1" applyFont="1" applyFill="1" applyBorder="1"/>
    <xf numFmtId="173" fontId="10" fillId="9" borderId="3" xfId="4" applyNumberFormat="1" applyFont="1" applyFill="1" applyBorder="1" applyAlignment="1" applyProtection="1"/>
    <xf numFmtId="0" fontId="12" fillId="9" borderId="4" xfId="6" applyFont="1" applyFill="1" applyBorder="1"/>
    <xf numFmtId="168" fontId="9" fillId="9" borderId="4" xfId="6" applyNumberFormat="1" applyFont="1" applyFill="1" applyBorder="1"/>
    <xf numFmtId="0" fontId="10" fillId="9" borderId="5" xfId="6" applyFont="1" applyFill="1" applyBorder="1"/>
    <xf numFmtId="168" fontId="10" fillId="9" borderId="5" xfId="6" applyNumberFormat="1" applyFont="1" applyFill="1" applyBorder="1"/>
    <xf numFmtId="0" fontId="12" fillId="9" borderId="0" xfId="11" applyFont="1" applyFill="1" applyBorder="1" applyAlignment="1">
      <alignment vertical="center"/>
    </xf>
    <xf numFmtId="173" fontId="8" fillId="9" borderId="0" xfId="1" applyNumberFormat="1" applyFont="1" applyFill="1" applyAlignment="1"/>
    <xf numFmtId="173" fontId="8" fillId="9" borderId="0" xfId="0" applyNumberFormat="1" applyFont="1" applyFill="1"/>
    <xf numFmtId="10" fontId="12" fillId="9" borderId="0" xfId="6" applyNumberFormat="1" applyFont="1" applyFill="1"/>
    <xf numFmtId="0" fontId="12" fillId="9" borderId="5" xfId="11" applyFont="1" applyFill="1" applyBorder="1" applyAlignment="1">
      <alignment vertical="center"/>
    </xf>
    <xf numFmtId="173" fontId="12" fillId="9" borderId="5" xfId="11" applyNumberFormat="1" applyFont="1" applyFill="1" applyBorder="1" applyAlignment="1">
      <alignment vertical="center"/>
    </xf>
    <xf numFmtId="0" fontId="10" fillId="9" borderId="0" xfId="6" applyFont="1" applyFill="1" applyAlignment="1">
      <alignment wrapText="1"/>
    </xf>
    <xf numFmtId="0" fontId="12" fillId="9" borderId="0" xfId="7" applyFont="1" applyFill="1" applyAlignment="1">
      <alignment wrapText="1"/>
    </xf>
    <xf numFmtId="0" fontId="12" fillId="9" borderId="0" xfId="6" applyFont="1" applyFill="1" applyAlignment="1">
      <alignment wrapText="1"/>
    </xf>
    <xf numFmtId="15" fontId="9" fillId="9" borderId="0" xfId="6" applyNumberFormat="1" applyFont="1" applyFill="1" applyAlignment="1">
      <alignment wrapText="1"/>
    </xf>
    <xf numFmtId="173" fontId="12" fillId="9" borderId="0" xfId="1" applyNumberFormat="1" applyFont="1" applyFill="1" applyBorder="1" applyAlignment="1" applyProtection="1">
      <alignment wrapText="1"/>
    </xf>
    <xf numFmtId="173" fontId="17" fillId="9" borderId="0" xfId="1" applyNumberFormat="1" applyFont="1" applyFill="1" applyAlignment="1">
      <alignment horizontal="right" vertical="top" wrapText="1"/>
    </xf>
    <xf numFmtId="173" fontId="8" fillId="9" borderId="0" xfId="1" applyNumberFormat="1" applyFont="1" applyFill="1" applyAlignment="1">
      <alignment wrapText="1"/>
    </xf>
    <xf numFmtId="0" fontId="12" fillId="9" borderId="0" xfId="7" applyFont="1" applyFill="1"/>
    <xf numFmtId="174" fontId="9" fillId="11" borderId="0" xfId="6" applyNumberFormat="1" applyFont="1" applyFill="1" applyAlignment="1">
      <alignment wrapText="1"/>
    </xf>
    <xf numFmtId="0" fontId="9" fillId="0" borderId="0" xfId="3" applyFont="1"/>
    <xf numFmtId="0" fontId="34" fillId="0" borderId="0" xfId="0" applyFont="1"/>
    <xf numFmtId="0" fontId="9" fillId="0" borderId="38" xfId="0" applyFont="1" applyBorder="1"/>
    <xf numFmtId="0" fontId="9" fillId="0" borderId="43" xfId="0" applyFont="1" applyBorder="1"/>
    <xf numFmtId="0" fontId="9" fillId="0" borderId="29" xfId="0" applyFont="1" applyBorder="1"/>
    <xf numFmtId="0" fontId="11" fillId="0" borderId="19" xfId="0" applyFont="1" applyBorder="1" applyAlignment="1">
      <alignment vertical="top"/>
    </xf>
    <xf numFmtId="0" fontId="10" fillId="0" borderId="37" xfId="0" applyFont="1" applyBorder="1" applyAlignment="1">
      <alignment vertical="top"/>
    </xf>
    <xf numFmtId="0" fontId="9" fillId="0" borderId="38" xfId="0" applyFont="1" applyBorder="1" applyAlignment="1">
      <alignment vertical="top"/>
    </xf>
    <xf numFmtId="0" fontId="9" fillId="0" borderId="21" xfId="0" applyFont="1" applyBorder="1"/>
    <xf numFmtId="0" fontId="9" fillId="0" borderId="25" xfId="0" applyFont="1" applyBorder="1"/>
    <xf numFmtId="0" fontId="9" fillId="0" borderId="26" xfId="0" applyFont="1" applyBorder="1" applyAlignment="1">
      <alignment vertical="top"/>
    </xf>
    <xf numFmtId="0" fontId="2" fillId="0" borderId="45" xfId="0" applyFont="1" applyBorder="1"/>
    <xf numFmtId="0" fontId="2" fillId="0" borderId="32" xfId="0" applyFont="1" applyBorder="1"/>
    <xf numFmtId="172" fontId="2" fillId="0" borderId="0" xfId="4" applyNumberFormat="1" applyFont="1" applyBorder="1"/>
    <xf numFmtId="0" fontId="2" fillId="0" borderId="30" xfId="0" applyFont="1" applyBorder="1" applyAlignment="1">
      <alignment vertical="top"/>
    </xf>
    <xf numFmtId="0" fontId="3" fillId="0" borderId="20" xfId="0" applyFont="1" applyBorder="1"/>
    <xf numFmtId="172" fontId="3" fillId="0" borderId="20" xfId="4" applyNumberFormat="1" applyFont="1" applyBorder="1"/>
    <xf numFmtId="172" fontId="3" fillId="0" borderId="47" xfId="4" applyNumberFormat="1" applyFont="1" applyBorder="1"/>
    <xf numFmtId="0" fontId="2" fillId="0" borderId="19" xfId="0" applyFont="1" applyBorder="1"/>
    <xf numFmtId="172" fontId="2" fillId="0" borderId="19" xfId="4" applyNumberFormat="1" applyFont="1" applyBorder="1"/>
    <xf numFmtId="0" fontId="2" fillId="10" borderId="19" xfId="0" applyFont="1" applyFill="1" applyBorder="1"/>
    <xf numFmtId="0" fontId="2" fillId="0" borderId="48" xfId="0" applyFont="1" applyBorder="1"/>
    <xf numFmtId="0" fontId="2" fillId="0" borderId="25" xfId="0" applyFont="1" applyBorder="1"/>
    <xf numFmtId="172" fontId="2" fillId="0" borderId="26" xfId="4" applyNumberFormat="1" applyFont="1" applyBorder="1"/>
    <xf numFmtId="0" fontId="35" fillId="15" borderId="19" xfId="0" applyFont="1" applyFill="1" applyBorder="1"/>
    <xf numFmtId="0" fontId="35" fillId="15" borderId="19" xfId="0" applyFont="1" applyFill="1" applyBorder="1" applyAlignment="1">
      <alignment horizontal="center"/>
    </xf>
    <xf numFmtId="0" fontId="35" fillId="15" borderId="26" xfId="0" applyFont="1" applyFill="1" applyBorder="1" applyAlignment="1">
      <alignment horizontal="center"/>
    </xf>
    <xf numFmtId="0" fontId="35" fillId="15" borderId="26" xfId="0" applyFont="1" applyFill="1" applyBorder="1"/>
    <xf numFmtId="167" fontId="27" fillId="10" borderId="0" xfId="1" applyNumberFormat="1" applyFont="1" applyFill="1" applyBorder="1"/>
    <xf numFmtId="167" fontId="7" fillId="0" borderId="19" xfId="0" applyNumberFormat="1" applyFont="1" applyBorder="1"/>
    <xf numFmtId="43" fontId="22" fillId="0" borderId="35" xfId="1" applyFont="1" applyBorder="1" applyAlignment="1">
      <alignment vertical="top"/>
    </xf>
    <xf numFmtId="43" fontId="22" fillId="14" borderId="35" xfId="1" applyFont="1" applyFill="1" applyBorder="1" applyAlignment="1">
      <alignment vertical="top"/>
    </xf>
    <xf numFmtId="10" fontId="12" fillId="9" borderId="0" xfId="2" applyNumberFormat="1" applyFont="1" applyFill="1" applyAlignment="1" applyProtection="1">
      <alignment horizontal="right"/>
    </xf>
    <xf numFmtId="9" fontId="8" fillId="5" borderId="0" xfId="3" applyNumberFormat="1" applyFont="1" applyFill="1" applyAlignment="1">
      <alignment vertical="top"/>
    </xf>
    <xf numFmtId="165" fontId="22" fillId="0" borderId="0" xfId="3" applyNumberFormat="1" applyFont="1" applyAlignment="1">
      <alignment horizontal="center" vertical="top"/>
    </xf>
    <xf numFmtId="168" fontId="8" fillId="0" borderId="19" xfId="2" applyNumberFormat="1" applyFont="1" applyBorder="1" applyAlignment="1">
      <alignment horizontal="center" vertical="top"/>
    </xf>
    <xf numFmtId="9" fontId="22" fillId="10" borderId="35" xfId="3" applyNumberFormat="1" applyFont="1" applyFill="1" applyBorder="1" applyAlignment="1">
      <alignment vertical="top"/>
    </xf>
    <xf numFmtId="0" fontId="8" fillId="10" borderId="0" xfId="3" applyFont="1" applyFill="1" applyAlignment="1">
      <alignment vertical="top"/>
    </xf>
    <xf numFmtId="9" fontId="8" fillId="15" borderId="0" xfId="3" applyNumberFormat="1" applyFont="1" applyFill="1" applyAlignment="1">
      <alignment vertical="top"/>
    </xf>
    <xf numFmtId="0" fontId="8" fillId="15" borderId="0" xfId="3" applyFont="1" applyFill="1" applyAlignment="1">
      <alignment vertical="top"/>
    </xf>
    <xf numFmtId="0" fontId="8" fillId="0" borderId="24" xfId="0" applyFont="1" applyBorder="1"/>
    <xf numFmtId="0" fontId="8" fillId="0" borderId="26" xfId="0" applyFont="1" applyBorder="1"/>
    <xf numFmtId="0" fontId="8" fillId="0" borderId="38" xfId="0" applyFont="1" applyBorder="1"/>
    <xf numFmtId="0" fontId="8" fillId="0" borderId="51" xfId="0" applyFont="1" applyBorder="1"/>
    <xf numFmtId="0" fontId="8" fillId="0" borderId="53" xfId="0" applyFont="1" applyBorder="1"/>
    <xf numFmtId="0" fontId="8" fillId="0" borderId="21" xfId="0" applyFont="1" applyBorder="1"/>
    <xf numFmtId="0" fontId="8" fillId="0" borderId="25" xfId="0" applyFont="1" applyBorder="1"/>
    <xf numFmtId="167" fontId="7" fillId="0" borderId="19" xfId="1" applyNumberFormat="1" applyFont="1" applyBorder="1"/>
    <xf numFmtId="167" fontId="8" fillId="0" borderId="19" xfId="1" applyNumberFormat="1" applyFont="1" applyBorder="1"/>
    <xf numFmtId="167" fontId="7" fillId="0" borderId="26" xfId="1" applyNumberFormat="1" applyFont="1" applyBorder="1"/>
    <xf numFmtId="167" fontId="8" fillId="0" borderId="26" xfId="1" applyNumberFormat="1" applyFont="1" applyBorder="1"/>
    <xf numFmtId="0" fontId="7" fillId="9" borderId="49" xfId="0" applyFont="1" applyFill="1" applyBorder="1" applyAlignment="1">
      <alignment horizontal="left" vertical="top"/>
    </xf>
    <xf numFmtId="0" fontId="10" fillId="15" borderId="24" xfId="0" applyFont="1" applyFill="1" applyBorder="1"/>
    <xf numFmtId="0" fontId="37" fillId="0" borderId="0" xfId="0" applyFont="1" applyAlignment="1">
      <alignment wrapText="1"/>
    </xf>
    <xf numFmtId="0" fontId="8" fillId="0" borderId="61" xfId="0" applyFont="1" applyBorder="1"/>
    <xf numFmtId="0" fontId="7" fillId="0" borderId="62" xfId="0" applyFont="1" applyBorder="1" applyAlignment="1">
      <alignment horizontal="center"/>
    </xf>
    <xf numFmtId="41" fontId="7" fillId="0" borderId="24" xfId="0" applyNumberFormat="1" applyFont="1" applyBorder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13" fillId="6" borderId="25" xfId="0" applyNumberFormat="1" applyFont="1" applyFill="1" applyBorder="1"/>
    <xf numFmtId="41" fontId="7" fillId="0" borderId="25" xfId="0" applyNumberFormat="1" applyFont="1" applyBorder="1"/>
    <xf numFmtId="41" fontId="8" fillId="0" borderId="25" xfId="0" applyNumberFormat="1" applyFont="1" applyBorder="1"/>
    <xf numFmtId="167" fontId="12" fillId="0" borderId="19" xfId="1" applyNumberFormat="1" applyFont="1" applyFill="1" applyBorder="1" applyProtection="1">
      <protection hidden="1"/>
    </xf>
    <xf numFmtId="167" fontId="8" fillId="0" borderId="19" xfId="1" applyNumberFormat="1" applyFont="1" applyBorder="1" applyProtection="1">
      <protection hidden="1"/>
    </xf>
    <xf numFmtId="167" fontId="8" fillId="0" borderId="26" xfId="1" applyNumberFormat="1" applyFont="1" applyBorder="1" applyProtection="1">
      <protection hidden="1"/>
    </xf>
    <xf numFmtId="0" fontId="7" fillId="0" borderId="61" xfId="0" applyFont="1" applyBorder="1"/>
    <xf numFmtId="41" fontId="38" fillId="6" borderId="25" xfId="0" applyNumberFormat="1" applyFont="1" applyFill="1" applyBorder="1" applyAlignment="1">
      <alignment horizontal="left"/>
    </xf>
    <xf numFmtId="167" fontId="13" fillId="6" borderId="19" xfId="0" applyNumberFormat="1" applyFont="1" applyFill="1" applyBorder="1" applyProtection="1">
      <protection hidden="1"/>
    </xf>
    <xf numFmtId="167" fontId="13" fillId="6" borderId="26" xfId="0" applyNumberFormat="1" applyFont="1" applyFill="1" applyBorder="1" applyProtection="1">
      <protection hidden="1"/>
    </xf>
    <xf numFmtId="167" fontId="8" fillId="0" borderId="19" xfId="0" applyNumberFormat="1" applyFont="1" applyBorder="1" applyProtection="1">
      <protection hidden="1"/>
    </xf>
    <xf numFmtId="167" fontId="8" fillId="0" borderId="26" xfId="0" applyNumberFormat="1" applyFont="1" applyBorder="1" applyProtection="1">
      <protection hidden="1"/>
    </xf>
    <xf numFmtId="0" fontId="7" fillId="0" borderId="63" xfId="0" applyFont="1" applyBorder="1"/>
    <xf numFmtId="41" fontId="38" fillId="6" borderId="53" xfId="0" applyNumberFormat="1" applyFont="1" applyFill="1" applyBorder="1"/>
    <xf numFmtId="167" fontId="13" fillId="6" borderId="54" xfId="0" applyNumberFormat="1" applyFont="1" applyFill="1" applyBorder="1" applyProtection="1">
      <protection hidden="1"/>
    </xf>
    <xf numFmtId="173" fontId="8" fillId="0" borderId="0" xfId="0" applyNumberFormat="1" applyFont="1" applyProtection="1">
      <protection hidden="1"/>
    </xf>
    <xf numFmtId="0" fontId="39" fillId="0" borderId="21" xfId="0" applyFont="1" applyBorder="1"/>
    <xf numFmtId="0" fontId="8" fillId="0" borderId="22" xfId="0" applyFont="1" applyBorder="1"/>
    <xf numFmtId="167" fontId="8" fillId="0" borderId="19" xfId="0" applyNumberFormat="1" applyFont="1" applyBorder="1"/>
    <xf numFmtId="167" fontId="8" fillId="0" borderId="26" xfId="0" applyNumberFormat="1" applyFont="1" applyBorder="1"/>
    <xf numFmtId="41" fontId="8" fillId="0" borderId="19" xfId="0" applyNumberFormat="1" applyFont="1" applyBorder="1"/>
    <xf numFmtId="41" fontId="8" fillId="0" borderId="26" xfId="0" applyNumberFormat="1" applyFont="1" applyBorder="1"/>
    <xf numFmtId="167" fontId="7" fillId="0" borderId="54" xfId="0" applyNumberFormat="1" applyFont="1" applyBorder="1"/>
    <xf numFmtId="167" fontId="7" fillId="0" borderId="55" xfId="0" applyNumberFormat="1" applyFont="1" applyBorder="1"/>
    <xf numFmtId="0" fontId="7" fillId="15" borderId="49" xfId="0" applyFont="1" applyFill="1" applyBorder="1" applyAlignment="1">
      <alignment horizontal="left" vertical="top"/>
    </xf>
    <xf numFmtId="0" fontId="13" fillId="6" borderId="21" xfId="0" applyFont="1" applyFill="1" applyBorder="1"/>
    <xf numFmtId="173" fontId="22" fillId="2" borderId="24" xfId="1" applyNumberFormat="1" applyFont="1" applyFill="1" applyBorder="1"/>
    <xf numFmtId="173" fontId="22" fillId="2" borderId="22" xfId="1" applyNumberFormat="1" applyFont="1" applyFill="1" applyBorder="1"/>
    <xf numFmtId="0" fontId="22" fillId="9" borderId="25" xfId="0" applyFont="1" applyFill="1" applyBorder="1"/>
    <xf numFmtId="0" fontId="22" fillId="9" borderId="19" xfId="0" applyFont="1" applyFill="1" applyBorder="1"/>
    <xf numFmtId="0" fontId="21" fillId="9" borderId="25" xfId="0" applyFont="1" applyFill="1" applyBorder="1"/>
    <xf numFmtId="167" fontId="22" fillId="9" borderId="19" xfId="1" applyNumberFormat="1" applyFont="1" applyFill="1" applyBorder="1"/>
    <xf numFmtId="167" fontId="22" fillId="9" borderId="26" xfId="1" applyNumberFormat="1" applyFont="1" applyFill="1" applyBorder="1"/>
    <xf numFmtId="0" fontId="21" fillId="9" borderId="19" xfId="0" applyFont="1" applyFill="1" applyBorder="1"/>
    <xf numFmtId="167" fontId="21" fillId="9" borderId="19" xfId="1" applyNumberFormat="1" applyFont="1" applyFill="1" applyBorder="1"/>
    <xf numFmtId="167" fontId="21" fillId="9" borderId="26" xfId="1" applyNumberFormat="1" applyFont="1" applyFill="1" applyBorder="1"/>
    <xf numFmtId="167" fontId="22" fillId="0" borderId="19" xfId="1" applyNumberFormat="1" applyFont="1" applyFill="1" applyBorder="1"/>
    <xf numFmtId="167" fontId="22" fillId="0" borderId="26" xfId="1" applyNumberFormat="1" applyFont="1" applyFill="1" applyBorder="1"/>
    <xf numFmtId="0" fontId="21" fillId="23" borderId="25" xfId="0" applyFont="1" applyFill="1" applyBorder="1"/>
    <xf numFmtId="0" fontId="21" fillId="23" borderId="19" xfId="0" applyFont="1" applyFill="1" applyBorder="1"/>
    <xf numFmtId="167" fontId="21" fillId="23" borderId="19" xfId="1" applyNumberFormat="1" applyFont="1" applyFill="1" applyBorder="1"/>
    <xf numFmtId="167" fontId="21" fillId="23" borderId="26" xfId="1" applyNumberFormat="1" applyFont="1" applyFill="1" applyBorder="1"/>
    <xf numFmtId="167" fontId="9" fillId="9" borderId="19" xfId="1" applyNumberFormat="1" applyFont="1" applyFill="1" applyBorder="1"/>
    <xf numFmtId="167" fontId="9" fillId="9" borderId="26" xfId="1" applyNumberFormat="1" applyFont="1" applyFill="1" applyBorder="1"/>
    <xf numFmtId="41" fontId="21" fillId="23" borderId="19" xfId="0" applyNumberFormat="1" applyFont="1" applyFill="1" applyBorder="1"/>
    <xf numFmtId="0" fontId="40" fillId="9" borderId="53" xfId="0" applyFont="1" applyFill="1" applyBorder="1"/>
    <xf numFmtId="0" fontId="40" fillId="9" borderId="54" xfId="0" applyFont="1" applyFill="1" applyBorder="1"/>
    <xf numFmtId="167" fontId="41" fillId="9" borderId="54" xfId="1" applyNumberFormat="1" applyFont="1" applyFill="1" applyBorder="1"/>
    <xf numFmtId="167" fontId="41" fillId="9" borderId="55" xfId="1" applyNumberFormat="1" applyFont="1" applyFill="1" applyBorder="1"/>
    <xf numFmtId="43" fontId="22" fillId="9" borderId="19" xfId="1" applyFont="1" applyFill="1" applyBorder="1"/>
    <xf numFmtId="173" fontId="9" fillId="0" borderId="34" xfId="4" applyNumberFormat="1" applyFont="1" applyFill="1" applyBorder="1" applyAlignment="1" applyProtection="1"/>
    <xf numFmtId="173" fontId="9" fillId="0" borderId="33" xfId="4" applyNumberFormat="1" applyFont="1" applyFill="1" applyBorder="1" applyAlignment="1" applyProtection="1"/>
    <xf numFmtId="43" fontId="8" fillId="10" borderId="7" xfId="1" applyFont="1" applyFill="1" applyBorder="1"/>
    <xf numFmtId="173" fontId="43" fillId="0" borderId="21" xfId="1" applyNumberFormat="1" applyFont="1" applyBorder="1"/>
    <xf numFmtId="173" fontId="44" fillId="0" borderId="24" xfId="1" applyNumberFormat="1" applyFont="1" applyFill="1" applyBorder="1" applyAlignment="1">
      <alignment horizontal="center"/>
    </xf>
    <xf numFmtId="173" fontId="44" fillId="0" borderId="22" xfId="1" applyNumberFormat="1" applyFont="1" applyFill="1" applyBorder="1" applyAlignment="1">
      <alignment horizontal="center"/>
    </xf>
    <xf numFmtId="167" fontId="45" fillId="21" borderId="25" xfId="1" applyNumberFormat="1" applyFont="1" applyFill="1" applyBorder="1"/>
    <xf numFmtId="167" fontId="45" fillId="0" borderId="19" xfId="1" applyNumberFormat="1" applyFont="1" applyFill="1" applyBorder="1"/>
    <xf numFmtId="167" fontId="45" fillId="0" borderId="19" xfId="1" applyNumberFormat="1" applyFont="1" applyBorder="1"/>
    <xf numFmtId="167" fontId="15" fillId="0" borderId="19" xfId="1" applyNumberFormat="1" applyFont="1" applyBorder="1" applyAlignment="1">
      <alignment horizontal="center"/>
    </xf>
    <xf numFmtId="167" fontId="45" fillId="0" borderId="19" xfId="1" applyNumberFormat="1" applyFont="1" applyBorder="1" applyAlignment="1">
      <alignment horizontal="center"/>
    </xf>
    <xf numFmtId="167" fontId="15" fillId="0" borderId="26" xfId="1" applyNumberFormat="1" applyFont="1" applyBorder="1" applyAlignment="1">
      <alignment horizontal="center"/>
    </xf>
    <xf numFmtId="167" fontId="45" fillId="0" borderId="25" xfId="1" applyNumberFormat="1" applyFont="1" applyBorder="1"/>
    <xf numFmtId="167" fontId="45" fillId="0" borderId="26" xfId="1" applyNumberFormat="1" applyFont="1" applyFill="1" applyBorder="1"/>
    <xf numFmtId="167" fontId="15" fillId="0" borderId="25" xfId="1" applyNumberFormat="1" applyFont="1" applyBorder="1" applyAlignment="1">
      <alignment horizontal="left"/>
    </xf>
    <xf numFmtId="167" fontId="15" fillId="0" borderId="19" xfId="1" applyNumberFormat="1" applyFont="1" applyFill="1" applyBorder="1" applyAlignment="1">
      <alignment horizontal="left"/>
    </xf>
    <xf numFmtId="167" fontId="46" fillId="0" borderId="19" xfId="1" applyNumberFormat="1" applyFont="1" applyBorder="1"/>
    <xf numFmtId="167" fontId="15" fillId="0" borderId="19" xfId="1" applyNumberFormat="1" applyFont="1" applyBorder="1"/>
    <xf numFmtId="167" fontId="15" fillId="0" borderId="26" xfId="1" applyNumberFormat="1" applyFont="1" applyBorder="1"/>
    <xf numFmtId="167" fontId="47" fillId="7" borderId="25" xfId="1" applyNumberFormat="1" applyFont="1" applyFill="1" applyBorder="1"/>
    <xf numFmtId="167" fontId="47" fillId="7" borderId="19" xfId="1" applyNumberFormat="1" applyFont="1" applyFill="1" applyBorder="1" applyAlignment="1" applyProtection="1">
      <alignment horizontal="center"/>
      <protection hidden="1"/>
    </xf>
    <xf numFmtId="167" fontId="47" fillId="7" borderId="26" xfId="1" applyNumberFormat="1" applyFont="1" applyFill="1" applyBorder="1" applyAlignment="1" applyProtection="1">
      <alignment horizontal="center"/>
      <protection hidden="1"/>
    </xf>
    <xf numFmtId="167" fontId="48" fillId="21" borderId="25" xfId="1" applyNumberFormat="1" applyFont="1" applyFill="1" applyBorder="1"/>
    <xf numFmtId="9" fontId="48" fillId="0" borderId="19" xfId="2" applyFont="1" applyFill="1" applyBorder="1"/>
    <xf numFmtId="9" fontId="48" fillId="0" borderId="26" xfId="2" applyFont="1" applyFill="1" applyBorder="1"/>
    <xf numFmtId="167" fontId="48" fillId="24" borderId="25" xfId="1" applyNumberFormat="1" applyFont="1" applyFill="1" applyBorder="1"/>
    <xf numFmtId="0" fontId="43" fillId="0" borderId="25" xfId="0" applyFont="1" applyBorder="1" applyAlignment="1">
      <alignment vertical="top"/>
    </xf>
    <xf numFmtId="167" fontId="48" fillId="0" borderId="19" xfId="1" applyNumberFormat="1" applyFont="1" applyFill="1" applyBorder="1"/>
    <xf numFmtId="167" fontId="48" fillId="0" borderId="26" xfId="1" applyNumberFormat="1" applyFont="1" applyFill="1" applyBorder="1"/>
    <xf numFmtId="167" fontId="15" fillId="0" borderId="19" xfId="1" applyNumberFormat="1" applyFont="1" applyFill="1" applyBorder="1" applyAlignment="1" applyProtection="1">
      <alignment horizontal="center"/>
      <protection hidden="1"/>
    </xf>
    <xf numFmtId="167" fontId="15" fillId="0" borderId="26" xfId="1" applyNumberFormat="1" applyFont="1" applyFill="1" applyBorder="1" applyAlignment="1" applyProtection="1">
      <alignment horizontal="center"/>
      <protection hidden="1"/>
    </xf>
    <xf numFmtId="167" fontId="15" fillId="0" borderId="19" xfId="1" applyNumberFormat="1" applyFont="1" applyBorder="1" applyAlignment="1" applyProtection="1">
      <alignment horizontal="center"/>
      <protection hidden="1"/>
    </xf>
    <xf numFmtId="167" fontId="15" fillId="0" borderId="26" xfId="1" applyNumberFormat="1" applyFont="1" applyBorder="1" applyAlignment="1" applyProtection="1">
      <alignment horizontal="center"/>
      <protection hidden="1"/>
    </xf>
    <xf numFmtId="167" fontId="15" fillId="7" borderId="19" xfId="1" applyNumberFormat="1" applyFont="1" applyFill="1" applyBorder="1" applyAlignment="1" applyProtection="1">
      <alignment horizontal="center"/>
      <protection hidden="1"/>
    </xf>
    <xf numFmtId="167" fontId="15" fillId="7" borderId="26" xfId="1" applyNumberFormat="1" applyFont="1" applyFill="1" applyBorder="1" applyAlignment="1" applyProtection="1">
      <alignment horizontal="center"/>
      <protection hidden="1"/>
    </xf>
    <xf numFmtId="167" fontId="45" fillId="21" borderId="19" xfId="1" applyNumberFormat="1" applyFont="1" applyFill="1" applyBorder="1" applyAlignment="1" applyProtection="1">
      <alignment horizontal="center"/>
      <protection hidden="1"/>
    </xf>
    <xf numFmtId="167" fontId="45" fillId="21" borderId="26" xfId="1" applyNumberFormat="1" applyFont="1" applyFill="1" applyBorder="1" applyAlignment="1" applyProtection="1">
      <alignment horizontal="center"/>
      <protection hidden="1"/>
    </xf>
    <xf numFmtId="9" fontId="45" fillId="0" borderId="25" xfId="2" applyFont="1" applyBorder="1"/>
    <xf numFmtId="9" fontId="45" fillId="0" borderId="19" xfId="2" applyFont="1" applyBorder="1" applyAlignment="1" applyProtection="1">
      <alignment horizontal="center"/>
      <protection hidden="1"/>
    </xf>
    <xf numFmtId="9" fontId="45" fillId="0" borderId="26" xfId="2" applyFont="1" applyBorder="1" applyAlignment="1" applyProtection="1">
      <alignment horizontal="center"/>
      <protection hidden="1"/>
    </xf>
    <xf numFmtId="0" fontId="49" fillId="24" borderId="25" xfId="0" applyFont="1" applyFill="1" applyBorder="1" applyAlignment="1">
      <alignment vertical="top"/>
    </xf>
    <xf numFmtId="0" fontId="15" fillId="0" borderId="25" xfId="0" applyFont="1" applyBorder="1" applyAlignment="1">
      <alignment vertical="top"/>
    </xf>
    <xf numFmtId="0" fontId="15" fillId="0" borderId="25" xfId="0" applyFont="1" applyBorder="1" applyAlignment="1">
      <alignment vertical="top" wrapText="1"/>
    </xf>
    <xf numFmtId="173" fontId="15" fillId="0" borderId="19" xfId="1" applyNumberFormat="1" applyFont="1" applyBorder="1"/>
    <xf numFmtId="173" fontId="15" fillId="0" borderId="26" xfId="1" applyNumberFormat="1" applyFont="1" applyBorder="1"/>
    <xf numFmtId="0" fontId="15" fillId="0" borderId="25" xfId="0" applyFont="1" applyBorder="1"/>
    <xf numFmtId="0" fontId="47" fillId="0" borderId="25" xfId="0" applyFont="1" applyBorder="1"/>
    <xf numFmtId="167" fontId="47" fillId="0" borderId="19" xfId="1" applyNumberFormat="1" applyFont="1" applyBorder="1" applyAlignment="1" applyProtection="1">
      <alignment horizontal="center"/>
      <protection hidden="1"/>
    </xf>
    <xf numFmtId="0" fontId="45" fillId="21" borderId="25" xfId="0" applyFont="1" applyFill="1" applyBorder="1"/>
    <xf numFmtId="43" fontId="15" fillId="0" borderId="19" xfId="1" applyFont="1" applyBorder="1"/>
    <xf numFmtId="43" fontId="15" fillId="0" borderId="26" xfId="1" applyFont="1" applyBorder="1"/>
    <xf numFmtId="0" fontId="45" fillId="0" borderId="25" xfId="0" applyFont="1" applyBorder="1"/>
    <xf numFmtId="9" fontId="45" fillId="0" borderId="53" xfId="2" applyFont="1" applyBorder="1"/>
    <xf numFmtId="9" fontId="45" fillId="0" borderId="54" xfId="2" applyFont="1" applyBorder="1" applyAlignment="1" applyProtection="1">
      <alignment horizontal="center"/>
      <protection hidden="1"/>
    </xf>
    <xf numFmtId="168" fontId="45" fillId="0" borderId="55" xfId="2" applyNumberFormat="1" applyFont="1" applyBorder="1" applyAlignment="1" applyProtection="1">
      <alignment horizontal="center"/>
      <protection hidden="1"/>
    </xf>
    <xf numFmtId="0" fontId="44" fillId="7" borderId="0" xfId="0" applyFont="1" applyFill="1"/>
    <xf numFmtId="0" fontId="43" fillId="0" borderId="0" xfId="0" applyFont="1"/>
    <xf numFmtId="0" fontId="50" fillId="19" borderId="0" xfId="0" applyFont="1" applyFill="1" applyAlignment="1">
      <alignment vertical="top"/>
    </xf>
    <xf numFmtId="0" fontId="51" fillId="19" borderId="0" xfId="0" applyFont="1" applyFill="1" applyAlignment="1">
      <alignment vertical="top"/>
    </xf>
    <xf numFmtId="0" fontId="50" fillId="19" borderId="0" xfId="0" applyFont="1" applyFill="1" applyAlignment="1">
      <alignment vertical="top" wrapText="1"/>
    </xf>
    <xf numFmtId="0" fontId="52" fillId="19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0" fillId="9" borderId="0" xfId="0" applyFont="1" applyFill="1"/>
    <xf numFmtId="0" fontId="50" fillId="6" borderId="0" xfId="0" applyFont="1" applyFill="1"/>
    <xf numFmtId="0" fontId="50" fillId="0" borderId="0" xfId="0" applyFont="1" applyAlignment="1">
      <alignment vertical="top"/>
    </xf>
    <xf numFmtId="0" fontId="50" fillId="0" borderId="0" xfId="0" applyFont="1" applyAlignment="1">
      <alignment vertical="top" wrapText="1"/>
    </xf>
    <xf numFmtId="0" fontId="50" fillId="0" borderId="0" xfId="0" applyFont="1" applyAlignment="1">
      <alignment horizontal="right" vertical="top" wrapText="1"/>
    </xf>
    <xf numFmtId="0" fontId="50" fillId="0" borderId="0" xfId="0" applyFont="1" applyAlignment="1">
      <alignment horizontal="right" vertical="top"/>
    </xf>
    <xf numFmtId="0" fontId="50" fillId="0" borderId="0" xfId="0" applyFont="1"/>
    <xf numFmtId="0" fontId="43" fillId="0" borderId="0" xfId="0" applyFont="1" applyAlignment="1">
      <alignment vertical="top"/>
    </xf>
    <xf numFmtId="0" fontId="44" fillId="7" borderId="0" xfId="0" applyFont="1" applyFill="1" applyAlignment="1">
      <alignment vertical="top" wrapText="1"/>
    </xf>
    <xf numFmtId="0" fontId="43" fillId="0" borderId="0" xfId="0" applyFont="1" applyAlignment="1">
      <alignment vertical="top" wrapText="1"/>
    </xf>
    <xf numFmtId="0" fontId="43" fillId="9" borderId="0" xfId="0" applyFont="1" applyFill="1"/>
    <xf numFmtId="0" fontId="44" fillId="9" borderId="0" xfId="0" applyFont="1" applyFill="1" applyAlignment="1">
      <alignment vertical="top" wrapText="1"/>
    </xf>
    <xf numFmtId="0" fontId="44" fillId="7" borderId="0" xfId="0" applyFont="1" applyFill="1" applyAlignment="1">
      <alignment vertical="top"/>
    </xf>
    <xf numFmtId="0" fontId="44" fillId="9" borderId="0" xfId="0" applyFont="1" applyFill="1" applyAlignment="1">
      <alignment vertical="top"/>
    </xf>
    <xf numFmtId="0" fontId="43" fillId="9" borderId="0" xfId="0" applyFont="1" applyFill="1" applyAlignment="1">
      <alignment vertical="top"/>
    </xf>
    <xf numFmtId="0" fontId="44" fillId="7" borderId="21" xfId="0" applyFont="1" applyFill="1" applyBorder="1"/>
    <xf numFmtId="0" fontId="44" fillId="7" borderId="24" xfId="0" applyFont="1" applyFill="1" applyBorder="1" applyAlignment="1">
      <alignment vertical="top"/>
    </xf>
    <xf numFmtId="0" fontId="44" fillId="9" borderId="24" xfId="0" applyFont="1" applyFill="1" applyBorder="1" applyAlignment="1">
      <alignment vertical="top" wrapText="1"/>
    </xf>
    <xf numFmtId="0" fontId="15" fillId="7" borderId="24" xfId="0" applyFont="1" applyFill="1" applyBorder="1"/>
    <xf numFmtId="0" fontId="15" fillId="7" borderId="24" xfId="0" applyFont="1" applyFill="1" applyBorder="1" applyAlignment="1">
      <alignment horizontal="center"/>
    </xf>
    <xf numFmtId="0" fontId="15" fillId="7" borderId="22" xfId="0" applyFont="1" applyFill="1" applyBorder="1"/>
    <xf numFmtId="0" fontId="44" fillId="0" borderId="56" xfId="0" applyFont="1" applyBorder="1"/>
    <xf numFmtId="0" fontId="43" fillId="0" borderId="29" xfId="0" applyFont="1" applyBorder="1" applyAlignment="1">
      <alignment vertical="top"/>
    </xf>
    <xf numFmtId="0" fontId="15" fillId="0" borderId="19" xfId="0" applyFont="1" applyBorder="1" applyAlignment="1">
      <alignment vertical="top" wrapText="1"/>
    </xf>
    <xf numFmtId="0" fontId="15" fillId="0" borderId="29" xfId="0" applyFont="1" applyBorder="1"/>
    <xf numFmtId="0" fontId="15" fillId="0" borderId="29" xfId="0" applyFont="1" applyBorder="1" applyAlignment="1">
      <alignment horizontal="center"/>
    </xf>
    <xf numFmtId="0" fontId="15" fillId="0" borderId="64" xfId="0" applyFont="1" applyBorder="1"/>
    <xf numFmtId="0" fontId="43" fillId="0" borderId="25" xfId="0" applyFont="1" applyBorder="1"/>
    <xf numFmtId="0" fontId="15" fillId="0" borderId="19" xfId="0" applyFont="1" applyBorder="1" applyAlignment="1">
      <alignment horizontal="left" vertical="top"/>
    </xf>
    <xf numFmtId="0" fontId="15" fillId="0" borderId="19" xfId="0" applyFont="1" applyBorder="1" applyAlignment="1">
      <alignment vertical="top"/>
    </xf>
    <xf numFmtId="9" fontId="43" fillId="0" borderId="19" xfId="0" applyNumberFormat="1" applyFont="1" applyBorder="1" applyAlignment="1">
      <alignment horizontal="right" vertical="top"/>
    </xf>
    <xf numFmtId="9" fontId="43" fillId="0" borderId="26" xfId="0" applyNumberFormat="1" applyFont="1" applyBorder="1" applyAlignment="1">
      <alignment horizontal="right" vertical="top"/>
    </xf>
    <xf numFmtId="0" fontId="44" fillId="24" borderId="19" xfId="0" applyFont="1" applyFill="1" applyBorder="1" applyAlignment="1">
      <alignment vertical="top"/>
    </xf>
    <xf numFmtId="0" fontId="44" fillId="24" borderId="19" xfId="0" applyFont="1" applyFill="1" applyBorder="1" applyAlignment="1">
      <alignment vertical="top" wrapText="1"/>
    </xf>
    <xf numFmtId="43" fontId="44" fillId="24" borderId="19" xfId="1" applyFont="1" applyFill="1" applyBorder="1" applyAlignment="1">
      <alignment vertical="top"/>
    </xf>
    <xf numFmtId="0" fontId="44" fillId="0" borderId="19" xfId="0" applyFont="1" applyBorder="1" applyAlignment="1">
      <alignment vertical="top"/>
    </xf>
    <xf numFmtId="0" fontId="44" fillId="0" borderId="19" xfId="0" applyFont="1" applyBorder="1" applyAlignment="1">
      <alignment vertical="top" wrapText="1"/>
    </xf>
    <xf numFmtId="0" fontId="44" fillId="0" borderId="26" xfId="0" applyFont="1" applyBorder="1" applyAlignment="1">
      <alignment vertical="top"/>
    </xf>
    <xf numFmtId="0" fontId="44" fillId="7" borderId="25" xfId="0" applyFont="1" applyFill="1" applyBorder="1"/>
    <xf numFmtId="0" fontId="44" fillId="7" borderId="19" xfId="0" applyFont="1" applyFill="1" applyBorder="1" applyAlignment="1">
      <alignment vertical="top"/>
    </xf>
    <xf numFmtId="0" fontId="44" fillId="9" borderId="19" xfId="0" applyFont="1" applyFill="1" applyBorder="1" applyAlignment="1">
      <alignment vertical="top" wrapText="1"/>
    </xf>
    <xf numFmtId="0" fontId="15" fillId="7" borderId="19" xfId="0" applyFont="1" applyFill="1" applyBorder="1"/>
    <xf numFmtId="0" fontId="15" fillId="7" borderId="19" xfId="0" applyFont="1" applyFill="1" applyBorder="1" applyAlignment="1">
      <alignment horizontal="center"/>
    </xf>
    <xf numFmtId="0" fontId="15" fillId="7" borderId="26" xfId="0" applyFont="1" applyFill="1" applyBorder="1"/>
    <xf numFmtId="167" fontId="43" fillId="0" borderId="19" xfId="1" applyNumberFormat="1" applyFont="1" applyBorder="1" applyAlignment="1">
      <alignment vertical="top"/>
    </xf>
    <xf numFmtId="167" fontId="43" fillId="0" borderId="26" xfId="1" applyNumberFormat="1" applyFont="1" applyBorder="1" applyAlignment="1">
      <alignment vertical="top"/>
    </xf>
    <xf numFmtId="0" fontId="43" fillId="0" borderId="19" xfId="0" applyFont="1" applyBorder="1" applyAlignment="1">
      <alignment vertical="top"/>
    </xf>
    <xf numFmtId="0" fontId="43" fillId="0" borderId="19" xfId="0" applyFont="1" applyBorder="1" applyAlignment="1">
      <alignment vertical="top" wrapText="1"/>
    </xf>
    <xf numFmtId="169" fontId="43" fillId="0" borderId="19" xfId="1" applyNumberFormat="1" applyFont="1" applyBorder="1" applyAlignment="1">
      <alignment vertical="top"/>
    </xf>
    <xf numFmtId="169" fontId="15" fillId="0" borderId="19" xfId="1" applyNumberFormat="1" applyFont="1" applyFill="1" applyBorder="1" applyAlignment="1">
      <alignment vertical="top"/>
    </xf>
    <xf numFmtId="10" fontId="43" fillId="24" borderId="19" xfId="0" applyNumberFormat="1" applyFont="1" applyFill="1" applyBorder="1" applyAlignment="1">
      <alignment vertical="top"/>
    </xf>
    <xf numFmtId="10" fontId="43" fillId="24" borderId="26" xfId="0" applyNumberFormat="1" applyFont="1" applyFill="1" applyBorder="1" applyAlignment="1">
      <alignment vertical="top"/>
    </xf>
    <xf numFmtId="0" fontId="43" fillId="0" borderId="26" xfId="0" applyFont="1" applyBorder="1" applyAlignment="1">
      <alignment vertical="top"/>
    </xf>
    <xf numFmtId="0" fontId="43" fillId="24" borderId="19" xfId="0" applyFont="1" applyFill="1" applyBorder="1" applyAlignment="1">
      <alignment horizontal="right" vertical="top"/>
    </xf>
    <xf numFmtId="9" fontId="43" fillId="24" borderId="19" xfId="0" applyNumberFormat="1" applyFont="1" applyFill="1" applyBorder="1" applyAlignment="1">
      <alignment vertical="top"/>
    </xf>
    <xf numFmtId="9" fontId="43" fillId="24" borderId="26" xfId="0" applyNumberFormat="1" applyFont="1" applyFill="1" applyBorder="1" applyAlignment="1">
      <alignment vertical="top"/>
    </xf>
    <xf numFmtId="0" fontId="52" fillId="0" borderId="25" xfId="0" applyFont="1" applyBorder="1"/>
    <xf numFmtId="0" fontId="52" fillId="0" borderId="19" xfId="0" applyFont="1" applyBorder="1" applyAlignment="1">
      <alignment vertical="top"/>
    </xf>
    <xf numFmtId="0" fontId="52" fillId="0" borderId="19" xfId="0" applyFont="1" applyBorder="1" applyAlignment="1">
      <alignment vertical="top" wrapText="1"/>
    </xf>
    <xf numFmtId="0" fontId="52" fillId="0" borderId="26" xfId="0" applyFont="1" applyBorder="1" applyAlignment="1">
      <alignment vertical="top"/>
    </xf>
    <xf numFmtId="0" fontId="15" fillId="7" borderId="25" xfId="0" applyFont="1" applyFill="1" applyBorder="1"/>
    <xf numFmtId="0" fontId="45" fillId="7" borderId="19" xfId="0" applyFont="1" applyFill="1" applyBorder="1" applyAlignment="1">
      <alignment wrapText="1"/>
    </xf>
    <xf numFmtId="0" fontId="43" fillId="0" borderId="19" xfId="0" applyFont="1" applyBorder="1"/>
    <xf numFmtId="0" fontId="43" fillId="9" borderId="19" xfId="0" applyFont="1" applyFill="1" applyBorder="1"/>
    <xf numFmtId="0" fontId="43" fillId="9" borderId="26" xfId="0" applyFont="1" applyFill="1" applyBorder="1"/>
    <xf numFmtId="0" fontId="15" fillId="0" borderId="19" xfId="0" applyFont="1" applyBorder="1"/>
    <xf numFmtId="0" fontId="15" fillId="9" borderId="19" xfId="0" applyFont="1" applyFill="1" applyBorder="1"/>
    <xf numFmtId="0" fontId="15" fillId="9" borderId="26" xfId="0" applyFont="1" applyFill="1" applyBorder="1"/>
    <xf numFmtId="167" fontId="15" fillId="9" borderId="19" xfId="1" applyNumberFormat="1" applyFont="1" applyFill="1" applyBorder="1"/>
    <xf numFmtId="0" fontId="44" fillId="0" borderId="19" xfId="0" applyFont="1" applyBorder="1"/>
    <xf numFmtId="167" fontId="44" fillId="0" borderId="19" xfId="0" applyNumberFormat="1" applyFont="1" applyBorder="1"/>
    <xf numFmtId="167" fontId="44" fillId="0" borderId="19" xfId="1" applyNumberFormat="1" applyFont="1" applyBorder="1"/>
    <xf numFmtId="167" fontId="44" fillId="0" borderId="26" xfId="1" applyNumberFormat="1" applyFont="1" applyBorder="1"/>
    <xf numFmtId="0" fontId="43" fillId="18" borderId="25" xfId="0" applyFont="1" applyFill="1" applyBorder="1"/>
    <xf numFmtId="0" fontId="44" fillId="18" borderId="19" xfId="0" applyFont="1" applyFill="1" applyBorder="1"/>
    <xf numFmtId="0" fontId="43" fillId="18" borderId="19" xfId="0" applyFont="1" applyFill="1" applyBorder="1"/>
    <xf numFmtId="0" fontId="45" fillId="7" borderId="19" xfId="0" applyFont="1" applyFill="1" applyBorder="1" applyAlignment="1">
      <alignment horizontal="center"/>
    </xf>
    <xf numFmtId="0" fontId="45" fillId="7" borderId="26" xfId="0" applyFont="1" applyFill="1" applyBorder="1" applyAlignment="1">
      <alignment horizontal="center"/>
    </xf>
    <xf numFmtId="167" fontId="15" fillId="0" borderId="19" xfId="0" applyNumberFormat="1" applyFont="1" applyBorder="1"/>
    <xf numFmtId="167" fontId="15" fillId="9" borderId="26" xfId="1" applyNumberFormat="1" applyFont="1" applyFill="1" applyBorder="1"/>
    <xf numFmtId="9" fontId="43" fillId="20" borderId="19" xfId="0" applyNumberFormat="1" applyFont="1" applyFill="1" applyBorder="1"/>
    <xf numFmtId="0" fontId="43" fillId="0" borderId="26" xfId="0" applyFont="1" applyBorder="1"/>
    <xf numFmtId="0" fontId="44" fillId="18" borderId="19" xfId="0" applyFont="1" applyFill="1" applyBorder="1" applyAlignment="1">
      <alignment wrapText="1"/>
    </xf>
    <xf numFmtId="0" fontId="43" fillId="18" borderId="26" xfId="0" applyFont="1" applyFill="1" applyBorder="1"/>
    <xf numFmtId="0" fontId="43" fillId="0" borderId="53" xfId="0" applyFont="1" applyBorder="1"/>
    <xf numFmtId="0" fontId="44" fillId="7" borderId="54" xfId="0" applyFont="1" applyFill="1" applyBorder="1"/>
    <xf numFmtId="169" fontId="44" fillId="7" borderId="54" xfId="0" applyNumberFormat="1" applyFont="1" applyFill="1" applyBorder="1"/>
    <xf numFmtId="169" fontId="44" fillId="7" borderId="55" xfId="0" applyNumberFormat="1" applyFont="1" applyFill="1" applyBorder="1"/>
    <xf numFmtId="0" fontId="43" fillId="0" borderId="21" xfId="0" applyFont="1" applyBorder="1"/>
    <xf numFmtId="0" fontId="51" fillId="6" borderId="24" xfId="0" applyFont="1" applyFill="1" applyBorder="1" applyAlignment="1">
      <alignment vertical="top" wrapText="1"/>
    </xf>
    <xf numFmtId="0" fontId="43" fillId="0" borderId="24" xfId="0" applyFont="1" applyBorder="1" applyAlignment="1">
      <alignment vertical="top" wrapText="1"/>
    </xf>
    <xf numFmtId="0" fontId="15" fillId="7" borderId="59" xfId="0" applyFont="1" applyFill="1" applyBorder="1"/>
    <xf numFmtId="0" fontId="15" fillId="7" borderId="59" xfId="0" applyFont="1" applyFill="1" applyBorder="1" applyAlignment="1">
      <alignment horizontal="center"/>
    </xf>
    <xf numFmtId="0" fontId="15" fillId="7" borderId="60" xfId="0" applyFont="1" applyFill="1" applyBorder="1"/>
    <xf numFmtId="0" fontId="43" fillId="0" borderId="50" xfId="0" applyFont="1" applyBorder="1"/>
    <xf numFmtId="0" fontId="51" fillId="0" borderId="38" xfId="0" applyFont="1" applyBorder="1" applyAlignment="1">
      <alignment vertical="top" wrapText="1"/>
    </xf>
    <xf numFmtId="0" fontId="43" fillId="0" borderId="38" xfId="0" applyFont="1" applyBorder="1" applyAlignment="1">
      <alignment vertical="top" wrapText="1"/>
    </xf>
    <xf numFmtId="0" fontId="43" fillId="0" borderId="38" xfId="0" applyFont="1" applyBorder="1" applyAlignment="1">
      <alignment vertical="top"/>
    </xf>
    <xf numFmtId="0" fontId="43" fillId="0" borderId="51" xfId="0" applyFont="1" applyBorder="1" applyAlignment="1">
      <alignment vertical="top"/>
    </xf>
    <xf numFmtId="0" fontId="15" fillId="7" borderId="21" xfId="0" applyFont="1" applyFill="1" applyBorder="1"/>
    <xf numFmtId="0" fontId="43" fillId="0" borderId="24" xfId="0" applyFont="1" applyBorder="1" applyAlignment="1">
      <alignment vertical="top"/>
    </xf>
    <xf numFmtId="43" fontId="43" fillId="0" borderId="24" xfId="0" applyNumberFormat="1" applyFont="1" applyBorder="1" applyAlignment="1">
      <alignment vertical="top"/>
    </xf>
    <xf numFmtId="0" fontId="43" fillId="0" borderId="22" xfId="0" applyFont="1" applyBorder="1" applyAlignment="1">
      <alignment vertical="top"/>
    </xf>
    <xf numFmtId="167" fontId="43" fillId="0" borderId="19" xfId="0" applyNumberFormat="1" applyFont="1" applyBorder="1" applyAlignment="1">
      <alignment vertical="top" wrapText="1"/>
    </xf>
    <xf numFmtId="167" fontId="43" fillId="0" borderId="19" xfId="0" applyNumberFormat="1" applyFont="1" applyBorder="1" applyAlignment="1">
      <alignment vertical="top"/>
    </xf>
    <xf numFmtId="0" fontId="15" fillId="0" borderId="53" xfId="0" applyFont="1" applyBorder="1"/>
    <xf numFmtId="0" fontId="43" fillId="0" borderId="54" xfId="0" applyFont="1" applyBorder="1" applyAlignment="1">
      <alignment vertical="top"/>
    </xf>
    <xf numFmtId="167" fontId="43" fillId="0" borderId="54" xfId="0" applyNumberFormat="1" applyFont="1" applyBorder="1" applyAlignment="1">
      <alignment horizontal="right" vertical="top"/>
    </xf>
    <xf numFmtId="0" fontId="43" fillId="0" borderId="55" xfId="0" applyFont="1" applyBorder="1" applyAlignment="1">
      <alignment vertical="top"/>
    </xf>
    <xf numFmtId="0" fontId="15" fillId="0" borderId="57" xfId="0" applyFont="1" applyBorder="1"/>
    <xf numFmtId="0" fontId="43" fillId="0" borderId="36" xfId="0" applyFont="1" applyBorder="1" applyAlignment="1">
      <alignment vertical="top"/>
    </xf>
    <xf numFmtId="0" fontId="43" fillId="0" borderId="36" xfId="0" applyFont="1" applyBorder="1" applyAlignment="1">
      <alignment vertical="top" wrapText="1"/>
    </xf>
    <xf numFmtId="0" fontId="43" fillId="0" borderId="58" xfId="0" applyFont="1" applyBorder="1" applyAlignment="1">
      <alignment vertical="top"/>
    </xf>
    <xf numFmtId="0" fontId="15" fillId="7" borderId="40" xfId="0" applyFont="1" applyFill="1" applyBorder="1"/>
    <xf numFmtId="0" fontId="44" fillId="7" borderId="41" xfId="0" applyFont="1" applyFill="1" applyBorder="1" applyAlignment="1">
      <alignment vertical="top" wrapText="1"/>
    </xf>
    <xf numFmtId="0" fontId="43" fillId="0" borderId="41" xfId="0" applyFont="1" applyBorder="1" applyAlignment="1">
      <alignment vertical="top" wrapText="1"/>
    </xf>
    <xf numFmtId="9" fontId="43" fillId="10" borderId="41" xfId="0" applyNumberFormat="1" applyFont="1" applyFill="1" applyBorder="1" applyAlignment="1">
      <alignment vertical="top"/>
    </xf>
    <xf numFmtId="0" fontId="43" fillId="0" borderId="41" xfId="0" applyFont="1" applyBorder="1" applyAlignment="1">
      <alignment vertical="top"/>
    </xf>
    <xf numFmtId="0" fontId="43" fillId="0" borderId="42" xfId="0" applyFont="1" applyBorder="1" applyAlignment="1">
      <alignment vertical="top"/>
    </xf>
    <xf numFmtId="0" fontId="43" fillId="0" borderId="57" xfId="0" applyFont="1" applyBorder="1" applyAlignment="1">
      <alignment vertical="top"/>
    </xf>
    <xf numFmtId="0" fontId="52" fillId="0" borderId="36" xfId="0" applyFont="1" applyBorder="1" applyAlignment="1">
      <alignment vertical="top"/>
    </xf>
    <xf numFmtId="0" fontId="43" fillId="0" borderId="53" xfId="0" applyFont="1" applyBorder="1" applyAlignment="1">
      <alignment vertical="top"/>
    </xf>
    <xf numFmtId="0" fontId="44" fillId="0" borderId="54" xfId="0" applyFont="1" applyBorder="1" applyAlignment="1">
      <alignment vertical="top"/>
    </xf>
    <xf numFmtId="0" fontId="44" fillId="0" borderId="54" xfId="0" applyFont="1" applyBorder="1" applyAlignment="1">
      <alignment vertical="top" wrapText="1"/>
    </xf>
    <xf numFmtId="0" fontId="53" fillId="0" borderId="54" xfId="0" applyFont="1" applyBorder="1" applyAlignment="1">
      <alignment vertical="top"/>
    </xf>
    <xf numFmtId="167" fontId="44" fillId="0" borderId="54" xfId="0" applyNumberFormat="1" applyFont="1" applyBorder="1" applyAlignment="1">
      <alignment vertical="top"/>
    </xf>
    <xf numFmtId="167" fontId="44" fillId="0" borderId="55" xfId="0" applyNumberFormat="1" applyFont="1" applyBorder="1" applyAlignment="1">
      <alignment vertical="top"/>
    </xf>
    <xf numFmtId="167" fontId="43" fillId="9" borderId="19" xfId="1" applyNumberFormat="1" applyFont="1" applyFill="1" applyBorder="1" applyAlignment="1">
      <alignment horizontal="right" vertical="center"/>
    </xf>
    <xf numFmtId="169" fontId="54" fillId="0" borderId="19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horizontal="center"/>
    </xf>
    <xf numFmtId="0" fontId="44" fillId="22" borderId="52" xfId="0" applyFont="1" applyFill="1" applyBorder="1"/>
    <xf numFmtId="0" fontId="43" fillId="0" borderId="21" xfId="0" applyFont="1" applyBorder="1" applyAlignment="1">
      <alignment horizontal="center"/>
    </xf>
    <xf numFmtId="0" fontId="43" fillId="0" borderId="24" xfId="0" applyFont="1" applyBorder="1"/>
    <xf numFmtId="0" fontId="44" fillId="0" borderId="24" xfId="0" applyFont="1" applyBorder="1"/>
    <xf numFmtId="173" fontId="44" fillId="0" borderId="24" xfId="1" applyNumberFormat="1" applyFont="1" applyBorder="1" applyAlignment="1">
      <alignment horizontal="center"/>
    </xf>
    <xf numFmtId="173" fontId="44" fillId="0" borderId="22" xfId="1" applyNumberFormat="1" applyFont="1" applyBorder="1" applyAlignment="1">
      <alignment horizontal="center"/>
    </xf>
    <xf numFmtId="0" fontId="43" fillId="0" borderId="25" xfId="0" applyFont="1" applyBorder="1" applyAlignment="1">
      <alignment horizontal="center"/>
    </xf>
    <xf numFmtId="43" fontId="43" fillId="0" borderId="19" xfId="1" applyFont="1" applyBorder="1"/>
    <xf numFmtId="0" fontId="43" fillId="0" borderId="53" xfId="0" applyFont="1" applyBorder="1" applyAlignment="1">
      <alignment horizontal="center"/>
    </xf>
    <xf numFmtId="173" fontId="49" fillId="7" borderId="54" xfId="1" applyNumberFormat="1" applyFont="1" applyFill="1" applyBorder="1" applyAlignment="1">
      <alignment horizontal="right"/>
    </xf>
    <xf numFmtId="173" fontId="44" fillId="7" borderId="54" xfId="0" applyNumberFormat="1" applyFont="1" applyFill="1" applyBorder="1"/>
    <xf numFmtId="173" fontId="44" fillId="7" borderId="55" xfId="0" applyNumberFormat="1" applyFont="1" applyFill="1" applyBorder="1"/>
    <xf numFmtId="0" fontId="49" fillId="0" borderId="0" xfId="0" applyFont="1"/>
    <xf numFmtId="0" fontId="15" fillId="0" borderId="21" xfId="0" applyFont="1" applyBorder="1" applyAlignment="1">
      <alignment vertical="top"/>
    </xf>
    <xf numFmtId="167" fontId="15" fillId="0" borderId="24" xfId="1" applyNumberFormat="1" applyFont="1" applyFill="1" applyBorder="1" applyAlignment="1">
      <alignment vertical="top" wrapText="1"/>
    </xf>
    <xf numFmtId="167" fontId="43" fillId="0" borderId="24" xfId="1" applyNumberFormat="1" applyFont="1" applyFill="1" applyBorder="1" applyAlignment="1">
      <alignment vertical="top"/>
    </xf>
    <xf numFmtId="167" fontId="43" fillId="0" borderId="24" xfId="1" applyNumberFormat="1" applyFont="1" applyBorder="1" applyAlignment="1">
      <alignment vertical="top"/>
    </xf>
    <xf numFmtId="167" fontId="43" fillId="0" borderId="22" xfId="1" applyNumberFormat="1" applyFont="1" applyBorder="1" applyAlignment="1">
      <alignment vertical="top"/>
    </xf>
    <xf numFmtId="167" fontId="15" fillId="0" borderId="19" xfId="1" applyNumberFormat="1" applyFont="1" applyFill="1" applyBorder="1" applyAlignment="1">
      <alignment vertical="top" wrapText="1"/>
    </xf>
    <xf numFmtId="167" fontId="52" fillId="0" borderId="19" xfId="1" applyNumberFormat="1" applyFont="1" applyFill="1" applyBorder="1" applyAlignment="1">
      <alignment vertical="top"/>
    </xf>
    <xf numFmtId="167" fontId="43" fillId="0" borderId="19" xfId="1" applyNumberFormat="1" applyFont="1" applyBorder="1" applyAlignment="1">
      <alignment horizontal="right" vertical="top"/>
    </xf>
    <xf numFmtId="0" fontId="45" fillId="7" borderId="25" xfId="0" applyFont="1" applyFill="1" applyBorder="1" applyAlignment="1">
      <alignment vertical="top"/>
    </xf>
    <xf numFmtId="167" fontId="45" fillId="7" borderId="19" xfId="1" applyNumberFormat="1" applyFont="1" applyFill="1" applyBorder="1" applyAlignment="1">
      <alignment vertical="top" wrapText="1"/>
    </xf>
    <xf numFmtId="167" fontId="44" fillId="7" borderId="19" xfId="1" applyNumberFormat="1" applyFont="1" applyFill="1" applyBorder="1" applyAlignment="1">
      <alignment vertical="top"/>
    </xf>
    <xf numFmtId="167" fontId="44" fillId="7" borderId="26" xfId="1" applyNumberFormat="1" applyFont="1" applyFill="1" applyBorder="1" applyAlignment="1">
      <alignment vertical="top"/>
    </xf>
    <xf numFmtId="0" fontId="49" fillId="18" borderId="25" xfId="0" applyFont="1" applyFill="1" applyBorder="1" applyAlignment="1">
      <alignment vertical="top"/>
    </xf>
    <xf numFmtId="167" fontId="44" fillId="0" borderId="19" xfId="1" applyNumberFormat="1" applyFont="1" applyFill="1" applyBorder="1" applyAlignment="1">
      <alignment vertical="top" wrapText="1"/>
    </xf>
    <xf numFmtId="167" fontId="53" fillId="0" borderId="19" xfId="1" applyNumberFormat="1" applyFont="1" applyFill="1" applyBorder="1" applyAlignment="1">
      <alignment vertical="top"/>
    </xf>
    <xf numFmtId="167" fontId="43" fillId="0" borderId="19" xfId="1" applyNumberFormat="1" applyFont="1" applyBorder="1" applyAlignment="1">
      <alignment vertical="top" wrapText="1"/>
    </xf>
    <xf numFmtId="0" fontId="52" fillId="0" borderId="0" xfId="0" applyFont="1" applyAlignment="1">
      <alignment vertical="top" wrapText="1"/>
    </xf>
    <xf numFmtId="167" fontId="52" fillId="0" borderId="19" xfId="1" applyNumberFormat="1" applyFont="1" applyBorder="1" applyAlignment="1">
      <alignment vertical="top"/>
    </xf>
    <xf numFmtId="0" fontId="44" fillId="3" borderId="25" xfId="0" applyFont="1" applyFill="1" applyBorder="1" applyAlignment="1">
      <alignment vertical="top"/>
    </xf>
    <xf numFmtId="167" fontId="44" fillId="3" borderId="19" xfId="1" applyNumberFormat="1" applyFont="1" applyFill="1" applyBorder="1" applyAlignment="1">
      <alignment vertical="top" wrapText="1"/>
    </xf>
    <xf numFmtId="167" fontId="44" fillId="3" borderId="19" xfId="1" applyNumberFormat="1" applyFont="1" applyFill="1" applyBorder="1" applyAlignment="1">
      <alignment vertical="top"/>
    </xf>
    <xf numFmtId="167" fontId="44" fillId="3" borderId="26" xfId="1" applyNumberFormat="1" applyFont="1" applyFill="1" applyBorder="1" applyAlignment="1">
      <alignment vertical="top"/>
    </xf>
    <xf numFmtId="0" fontId="44" fillId="18" borderId="25" xfId="0" applyFont="1" applyFill="1" applyBorder="1" applyAlignment="1">
      <alignment vertical="top"/>
    </xf>
    <xf numFmtId="168" fontId="43" fillId="0" borderId="19" xfId="2" applyNumberFormat="1" applyFont="1" applyBorder="1" applyAlignment="1">
      <alignment vertical="top"/>
    </xf>
    <xf numFmtId="168" fontId="43" fillId="0" borderId="26" xfId="2" applyNumberFormat="1" applyFont="1" applyBorder="1" applyAlignment="1">
      <alignment vertical="top"/>
    </xf>
    <xf numFmtId="167" fontId="43" fillId="0" borderId="19" xfId="1" applyNumberFormat="1" applyFont="1" applyFill="1" applyBorder="1" applyAlignment="1">
      <alignment vertical="top"/>
    </xf>
    <xf numFmtId="168" fontId="43" fillId="0" borderId="19" xfId="2" applyNumberFormat="1" applyFont="1" applyFill="1" applyBorder="1" applyAlignment="1">
      <alignment vertical="top"/>
    </xf>
    <xf numFmtId="168" fontId="43" fillId="0" borderId="26" xfId="2" applyNumberFormat="1" applyFont="1" applyFill="1" applyBorder="1" applyAlignment="1">
      <alignment vertical="top"/>
    </xf>
    <xf numFmtId="168" fontId="43" fillId="0" borderId="26" xfId="0" applyNumberFormat="1" applyFont="1" applyBorder="1" applyAlignment="1">
      <alignment vertical="top"/>
    </xf>
    <xf numFmtId="168" fontId="44" fillId="7" borderId="25" xfId="2" applyNumberFormat="1" applyFont="1" applyFill="1" applyBorder="1" applyAlignment="1">
      <alignment vertical="top"/>
    </xf>
    <xf numFmtId="168" fontId="44" fillId="7" borderId="19" xfId="2" applyNumberFormat="1" applyFont="1" applyFill="1" applyBorder="1" applyAlignment="1">
      <alignment vertical="top" wrapText="1"/>
    </xf>
    <xf numFmtId="168" fontId="44" fillId="7" borderId="19" xfId="2" applyNumberFormat="1" applyFont="1" applyFill="1" applyBorder="1" applyAlignment="1">
      <alignment vertical="top"/>
    </xf>
    <xf numFmtId="168" fontId="44" fillId="7" borderId="26" xfId="2" applyNumberFormat="1" applyFont="1" applyFill="1" applyBorder="1" applyAlignment="1">
      <alignment vertical="top"/>
    </xf>
    <xf numFmtId="167" fontId="15" fillId="0" borderId="19" xfId="1" applyNumberFormat="1" applyFont="1" applyFill="1" applyBorder="1" applyAlignment="1">
      <alignment vertical="top"/>
    </xf>
    <xf numFmtId="168" fontId="43" fillId="9" borderId="0" xfId="2" applyNumberFormat="1" applyFont="1" applyFill="1"/>
    <xf numFmtId="0" fontId="44" fillId="7" borderId="25" xfId="0" applyFont="1" applyFill="1" applyBorder="1" applyAlignment="1">
      <alignment vertical="top"/>
    </xf>
    <xf numFmtId="167" fontId="44" fillId="7" borderId="19" xfId="1" applyNumberFormat="1" applyFont="1" applyFill="1" applyBorder="1" applyAlignment="1">
      <alignment vertical="top" wrapText="1"/>
    </xf>
    <xf numFmtId="167" fontId="53" fillId="7" borderId="19" xfId="1" applyNumberFormat="1" applyFont="1" applyFill="1" applyBorder="1" applyAlignment="1">
      <alignment vertical="top"/>
    </xf>
    <xf numFmtId="0" fontId="49" fillId="0" borderId="19" xfId="0" applyFont="1" applyBorder="1" applyAlignment="1">
      <alignment vertical="top" wrapText="1"/>
    </xf>
    <xf numFmtId="0" fontId="49" fillId="0" borderId="19" xfId="0" applyFont="1" applyBorder="1" applyAlignment="1">
      <alignment vertical="top"/>
    </xf>
    <xf numFmtId="168" fontId="15" fillId="0" borderId="19" xfId="0" applyNumberFormat="1" applyFont="1" applyBorder="1" applyAlignment="1">
      <alignment vertical="top"/>
    </xf>
    <xf numFmtId="168" fontId="15" fillId="0" borderId="26" xfId="0" applyNumberFormat="1" applyFont="1" applyBorder="1" applyAlignment="1">
      <alignment vertical="top"/>
    </xf>
    <xf numFmtId="43" fontId="15" fillId="0" borderId="19" xfId="1" applyFont="1" applyFill="1" applyBorder="1" applyAlignment="1">
      <alignment vertical="top"/>
    </xf>
    <xf numFmtId="0" fontId="44" fillId="7" borderId="19" xfId="0" applyFont="1" applyFill="1" applyBorder="1" applyAlignment="1">
      <alignment vertical="top" wrapText="1"/>
    </xf>
    <xf numFmtId="9" fontId="44" fillId="7" borderId="19" xfId="2" applyFont="1" applyFill="1" applyBorder="1" applyAlignment="1">
      <alignment vertical="top"/>
    </xf>
    <xf numFmtId="167" fontId="49" fillId="18" borderId="25" xfId="1" applyNumberFormat="1" applyFont="1" applyFill="1" applyBorder="1" applyAlignment="1">
      <alignment vertical="top"/>
    </xf>
    <xf numFmtId="167" fontId="55" fillId="0" borderId="19" xfId="1" applyNumberFormat="1" applyFont="1" applyFill="1" applyBorder="1" applyAlignment="1">
      <alignment vertical="top" wrapText="1"/>
    </xf>
    <xf numFmtId="167" fontId="56" fillId="0" borderId="19" xfId="1" applyNumberFormat="1" applyFont="1" applyFill="1" applyBorder="1" applyAlignment="1">
      <alignment vertical="top"/>
    </xf>
    <xf numFmtId="0" fontId="43" fillId="0" borderId="54" xfId="0" applyFont="1" applyBorder="1"/>
    <xf numFmtId="0" fontId="43" fillId="0" borderId="55" xfId="0" applyFont="1" applyBorder="1"/>
    <xf numFmtId="167" fontId="49" fillId="18" borderId="0" xfId="1" applyNumberFormat="1" applyFont="1" applyFill="1" applyAlignment="1">
      <alignment vertical="top"/>
    </xf>
    <xf numFmtId="167" fontId="49" fillId="18" borderId="0" xfId="1" applyNumberFormat="1" applyFont="1" applyFill="1" applyAlignment="1">
      <alignment vertical="top" wrapText="1"/>
    </xf>
    <xf numFmtId="167" fontId="55" fillId="0" borderId="0" xfId="1" applyNumberFormat="1" applyFont="1" applyFill="1" applyAlignment="1">
      <alignment vertical="top"/>
    </xf>
    <xf numFmtId="167" fontId="43" fillId="5" borderId="0" xfId="1" applyNumberFormat="1" applyFont="1" applyFill="1" applyAlignment="1">
      <alignment vertical="top"/>
    </xf>
    <xf numFmtId="43" fontId="7" fillId="16" borderId="5" xfId="0" applyNumberFormat="1" applyFont="1" applyFill="1" applyBorder="1"/>
    <xf numFmtId="41" fontId="7" fillId="0" borderId="25" xfId="0" applyNumberFormat="1" applyFont="1" applyBorder="1" applyAlignment="1">
      <alignment wrapText="1"/>
    </xf>
    <xf numFmtId="167" fontId="47" fillId="0" borderId="25" xfId="1" applyNumberFormat="1" applyFont="1" applyFill="1" applyBorder="1"/>
    <xf numFmtId="167" fontId="15" fillId="0" borderId="25" xfId="1" applyNumberFormat="1" applyFont="1" applyFill="1" applyBorder="1"/>
    <xf numFmtId="167" fontId="45" fillId="7" borderId="19" xfId="1" applyNumberFormat="1" applyFont="1" applyFill="1" applyBorder="1" applyAlignment="1" applyProtection="1">
      <alignment horizontal="center"/>
      <protection hidden="1"/>
    </xf>
    <xf numFmtId="0" fontId="22" fillId="9" borderId="50" xfId="0" applyFont="1" applyFill="1" applyBorder="1"/>
    <xf numFmtId="0" fontId="22" fillId="9" borderId="38" xfId="0" applyFont="1" applyFill="1" applyBorder="1"/>
    <xf numFmtId="173" fontId="22" fillId="9" borderId="38" xfId="1" applyNumberFormat="1" applyFont="1" applyFill="1" applyBorder="1"/>
    <xf numFmtId="173" fontId="22" fillId="9" borderId="51" xfId="1" applyNumberFormat="1" applyFont="1" applyFill="1" applyBorder="1"/>
    <xf numFmtId="0" fontId="21" fillId="9" borderId="21" xfId="0" applyFont="1" applyFill="1" applyBorder="1"/>
    <xf numFmtId="0" fontId="7" fillId="0" borderId="24" xfId="0" applyFont="1" applyBorder="1" applyAlignment="1">
      <alignment horizontal="center"/>
    </xf>
    <xf numFmtId="43" fontId="22" fillId="9" borderId="26" xfId="1" applyFont="1" applyFill="1" applyBorder="1"/>
    <xf numFmtId="175" fontId="19" fillId="0" borderId="0" xfId="8" applyNumberFormat="1" applyFont="1"/>
    <xf numFmtId="175" fontId="19" fillId="0" borderId="0" xfId="8" applyNumberFormat="1" applyFont="1" applyAlignment="1">
      <alignment horizontal="right"/>
    </xf>
    <xf numFmtId="0" fontId="22" fillId="7" borderId="19" xfId="3" applyFont="1" applyFill="1" applyBorder="1" applyAlignment="1">
      <alignment vertical="top" wrapText="1"/>
    </xf>
    <xf numFmtId="41" fontId="7" fillId="22" borderId="25" xfId="0" applyNumberFormat="1" applyFont="1" applyFill="1" applyBorder="1"/>
    <xf numFmtId="167" fontId="7" fillId="22" borderId="19" xfId="1" applyNumberFormat="1" applyFont="1" applyFill="1" applyBorder="1"/>
    <xf numFmtId="167" fontId="7" fillId="22" borderId="26" xfId="1" applyNumberFormat="1" applyFont="1" applyFill="1" applyBorder="1"/>
    <xf numFmtId="167" fontId="7" fillId="22" borderId="19" xfId="1" applyNumberFormat="1" applyFont="1" applyFill="1" applyBorder="1" applyProtection="1">
      <protection hidden="1"/>
    </xf>
    <xf numFmtId="167" fontId="7" fillId="22" borderId="26" xfId="1" applyNumberFormat="1" applyFont="1" applyFill="1" applyBorder="1" applyProtection="1">
      <protection hidden="1"/>
    </xf>
    <xf numFmtId="167" fontId="43" fillId="0" borderId="54" xfId="0" applyNumberFormat="1" applyFont="1" applyBorder="1" applyAlignment="1">
      <alignment vertical="top"/>
    </xf>
    <xf numFmtId="0" fontId="15" fillId="7" borderId="21" xfId="0" applyFont="1" applyFill="1" applyBorder="1" applyAlignment="1">
      <alignment horizontal="center"/>
    </xf>
    <xf numFmtId="0" fontId="42" fillId="22" borderId="0" xfId="0" applyFont="1" applyFill="1"/>
    <xf numFmtId="41" fontId="13" fillId="0" borderId="19" xfId="0" applyNumberFormat="1" applyFont="1" applyBorder="1"/>
    <xf numFmtId="41" fontId="7" fillId="0" borderId="19" xfId="0" applyNumberFormat="1" applyFont="1" applyBorder="1"/>
    <xf numFmtId="41" fontId="7" fillId="22" borderId="19" xfId="0" applyNumberFormat="1" applyFont="1" applyFill="1" applyBorder="1"/>
    <xf numFmtId="167" fontId="7" fillId="0" borderId="26" xfId="0" applyNumberFormat="1" applyFont="1" applyBorder="1"/>
    <xf numFmtId="167" fontId="13" fillId="6" borderId="55" xfId="0" applyNumberFormat="1" applyFont="1" applyFill="1" applyBorder="1" applyProtection="1">
      <protection hidden="1"/>
    </xf>
    <xf numFmtId="0" fontId="7" fillId="0" borderId="40" xfId="0" applyFont="1" applyBorder="1"/>
    <xf numFmtId="0" fontId="8" fillId="0" borderId="41" xfId="0" applyFont="1" applyBorder="1"/>
    <xf numFmtId="0" fontId="8" fillId="0" borderId="42" xfId="0" applyFont="1" applyBorder="1"/>
    <xf numFmtId="9" fontId="43" fillId="0" borderId="19" xfId="2" applyFont="1" applyBorder="1"/>
    <xf numFmtId="9" fontId="43" fillId="0" borderId="0" xfId="2" applyFont="1"/>
    <xf numFmtId="0" fontId="15" fillId="0" borderId="29" xfId="0" applyFont="1" applyBorder="1" applyAlignment="1">
      <alignment vertical="top" wrapText="1"/>
    </xf>
    <xf numFmtId="0" fontId="43" fillId="0" borderId="59" xfId="0" applyFont="1" applyBorder="1" applyAlignment="1">
      <alignment vertical="top" wrapText="1"/>
    </xf>
    <xf numFmtId="167" fontId="43" fillId="0" borderId="38" xfId="0" applyNumberFormat="1" applyFont="1" applyBorder="1" applyAlignment="1">
      <alignment vertical="top" wrapText="1"/>
    </xf>
    <xf numFmtId="0" fontId="44" fillId="9" borderId="24" xfId="0" applyFont="1" applyFill="1" applyBorder="1" applyAlignment="1">
      <alignment horizontal="center" vertical="top" wrapText="1"/>
    </xf>
    <xf numFmtId="0" fontId="15" fillId="7" borderId="22" xfId="0" applyFont="1" applyFill="1" applyBorder="1" applyAlignment="1">
      <alignment horizontal="center"/>
    </xf>
    <xf numFmtId="0" fontId="44" fillId="9" borderId="19" xfId="0" applyFont="1" applyFill="1" applyBorder="1" applyAlignment="1">
      <alignment horizontal="center" vertical="top" wrapText="1"/>
    </xf>
    <xf numFmtId="41" fontId="7" fillId="0" borderId="37" xfId="0" applyNumberFormat="1" applyFont="1" applyBorder="1"/>
    <xf numFmtId="41" fontId="8" fillId="0" borderId="37" xfId="0" applyNumberFormat="1" applyFont="1" applyBorder="1"/>
    <xf numFmtId="41" fontId="7" fillId="0" borderId="37" xfId="0" applyNumberFormat="1" applyFont="1" applyBorder="1" applyAlignment="1">
      <alignment wrapText="1"/>
    </xf>
    <xf numFmtId="41" fontId="7" fillId="22" borderId="37" xfId="0" applyNumberFormat="1" applyFont="1" applyFill="1" applyBorder="1"/>
    <xf numFmtId="41" fontId="38" fillId="6" borderId="37" xfId="0" applyNumberFormat="1" applyFont="1" applyFill="1" applyBorder="1" applyAlignment="1">
      <alignment horizontal="left"/>
    </xf>
    <xf numFmtId="41" fontId="38" fillId="6" borderId="65" xfId="0" applyNumberFormat="1" applyFont="1" applyFill="1" applyBorder="1"/>
    <xf numFmtId="0" fontId="39" fillId="0" borderId="62" xfId="0" applyFont="1" applyBorder="1"/>
    <xf numFmtId="0" fontId="8" fillId="0" borderId="37" xfId="0" applyFont="1" applyBorder="1"/>
    <xf numFmtId="0" fontId="8" fillId="0" borderId="65" xfId="0" applyFont="1" applyBorder="1"/>
    <xf numFmtId="0" fontId="7" fillId="0" borderId="66" xfId="0" applyFont="1" applyBorder="1"/>
    <xf numFmtId="0" fontId="7" fillId="0" borderId="62" xfId="0" applyFont="1" applyBorder="1"/>
    <xf numFmtId="41" fontId="13" fillId="0" borderId="37" xfId="0" applyNumberFormat="1" applyFont="1" applyBorder="1"/>
    <xf numFmtId="9" fontId="43" fillId="10" borderId="19" xfId="1" applyNumberFormat="1" applyFont="1" applyFill="1" applyBorder="1"/>
    <xf numFmtId="9" fontId="44" fillId="10" borderId="19" xfId="2" applyFont="1" applyFill="1" applyBorder="1"/>
    <xf numFmtId="9" fontId="44" fillId="10" borderId="26" xfId="2" applyFont="1" applyFill="1" applyBorder="1"/>
    <xf numFmtId="0" fontId="43" fillId="0" borderId="0" xfId="0" applyFont="1" applyAlignment="1">
      <alignment wrapText="1"/>
    </xf>
    <xf numFmtId="10" fontId="43" fillId="0" borderId="0" xfId="2" applyNumberFormat="1" applyFont="1" applyAlignment="1">
      <alignment vertical="top" wrapText="1"/>
    </xf>
    <xf numFmtId="9" fontId="43" fillId="0" borderId="0" xfId="2" applyFont="1" applyAlignment="1">
      <alignment vertical="top" wrapText="1"/>
    </xf>
    <xf numFmtId="0" fontId="52" fillId="0" borderId="0" xfId="0" applyFont="1" applyAlignment="1">
      <alignment wrapText="1"/>
    </xf>
    <xf numFmtId="0" fontId="36" fillId="6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57" fillId="22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0" fillId="15" borderId="38" xfId="0" applyFont="1" applyFill="1" applyBorder="1" applyAlignment="1">
      <alignment horizontal="center" vertical="top"/>
    </xf>
    <xf numFmtId="0" fontId="2" fillId="0" borderId="31" xfId="0" applyFont="1" applyBorder="1" applyAlignment="1">
      <alignment horizontal="left" vertical="top" wrapText="1"/>
    </xf>
    <xf numFmtId="0" fontId="2" fillId="0" borderId="46" xfId="0" applyFont="1" applyBorder="1" applyAlignment="1">
      <alignment horizontal="left" vertical="top" wrapText="1"/>
    </xf>
    <xf numFmtId="0" fontId="10" fillId="15" borderId="23" xfId="0" applyFont="1" applyFill="1" applyBorder="1" applyAlignment="1">
      <alignment horizontal="center" vertical="top"/>
    </xf>
    <xf numFmtId="0" fontId="10" fillId="15" borderId="44" xfId="0" applyFont="1" applyFill="1" applyBorder="1" applyAlignment="1">
      <alignment horizontal="center" vertical="top"/>
    </xf>
    <xf numFmtId="0" fontId="10" fillId="15" borderId="27" xfId="0" applyFont="1" applyFill="1" applyBorder="1" applyAlignment="1">
      <alignment horizontal="center" vertical="top"/>
    </xf>
    <xf numFmtId="0" fontId="3" fillId="15" borderId="35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3" fillId="15" borderId="28" xfId="0" applyFont="1" applyFill="1" applyBorder="1" applyAlignment="1">
      <alignment horizontal="center"/>
    </xf>
    <xf numFmtId="9" fontId="43" fillId="0" borderId="0" xfId="2" applyFont="1" applyAlignment="1">
      <alignment vertical="top"/>
    </xf>
  </cellXfs>
  <cellStyles count="15">
    <cellStyle name="Comma" xfId="1" builtinId="3"/>
    <cellStyle name="Comma 2" xfId="4" xr:uid="{00000000-0005-0000-0000-000001000000}"/>
    <cellStyle name="Comma 3" xfId="12" xr:uid="{00000000-0005-0000-0000-000002000000}"/>
    <cellStyle name="Comma 4 2" xfId="10" xr:uid="{00000000-0005-0000-0000-000003000000}"/>
    <cellStyle name="Currency" xfId="5" builtinId="4"/>
    <cellStyle name="Currency 2" xfId="13" xr:uid="{00000000-0005-0000-0000-000005000000}"/>
    <cellStyle name="Normal" xfId="0" builtinId="0"/>
    <cellStyle name="Normal 2" xfId="3" xr:uid="{00000000-0005-0000-0000-000008000000}"/>
    <cellStyle name="Normal 2 2 2 2" xfId="6" xr:uid="{00000000-0005-0000-0000-000009000000}"/>
    <cellStyle name="Normal 2 2 3" xfId="11" xr:uid="{00000000-0005-0000-0000-00000A000000}"/>
    <cellStyle name="Normal 4 3" xfId="7" xr:uid="{00000000-0005-0000-0000-00000B000000}"/>
    <cellStyle name="Normal 8 2 2 2" xfId="8" xr:uid="{00000000-0005-0000-0000-00000C000000}"/>
    <cellStyle name="Percent" xfId="2" builtinId="5"/>
    <cellStyle name="Percent 2" xfId="14" xr:uid="{00000000-0005-0000-0000-00000E000000}"/>
    <cellStyle name="Percent 5 2 2" xfId="9" xr:uid="{00000000-0005-0000-0000-00000F000000}"/>
  </cellStyles>
  <dxfs count="0"/>
  <tableStyles count="0" defaultTableStyle="TableStyleMedium2" defaultPivotStyle="PivotStyleLight16"/>
  <colors>
    <mruColors>
      <color rgb="FFFFB7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77309</xdr:colOff>
      <xdr:row>0</xdr:row>
      <xdr:rowOff>152400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8D8644D-A99C-8B46-B955-10F647D9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800" y="0"/>
          <a:ext cx="77309" cy="152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ema Chaturvedi" id="{A13C21DE-170B-DD45-9CFE-08E59E822BC8}" userId="ecc0c62319184c6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0-07-29T19:07:23.35" personId="{A13C21DE-170B-DD45-9CFE-08E59E822BC8}" id="{4E1D1450-C7BD-7342-AD4C-BABF24A81054}">
    <text>for Output?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0-07-29T19:02:59.36" personId="{A13C21DE-170B-DD45-9CFE-08E59E822BC8}" id="{2B9FB403-3083-9841-928A-5E5F59BA3E5E}">
    <text>Different from what Fresho indicated?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P81"/>
  <sheetViews>
    <sheetView tabSelected="1" zoomScaleNormal="100" workbookViewId="0">
      <selection activeCell="D10" sqref="D10:F10"/>
    </sheetView>
  </sheetViews>
  <sheetFormatPr defaultColWidth="9.1796875" defaultRowHeight="12.5" x14ac:dyDescent="0.25"/>
  <cols>
    <col min="1" max="1" width="2.1796875" style="484" customWidth="1"/>
    <col min="2" max="2" width="33" style="484" customWidth="1"/>
    <col min="3" max="3" width="23.36328125" style="486" customWidth="1"/>
    <col min="4" max="4" width="13.36328125" style="486" customWidth="1"/>
    <col min="5" max="5" width="11.453125" style="476" customWidth="1"/>
    <col min="6" max="6" width="14.1796875" style="484" bestFit="1" customWidth="1"/>
    <col min="7" max="9" width="12.81640625" style="484" bestFit="1" customWidth="1"/>
    <col min="10" max="10" width="12.453125" style="484" bestFit="1" customWidth="1"/>
    <col min="11" max="11" width="36" style="476" customWidth="1"/>
    <col min="12" max="120" width="9.1796875" style="487"/>
    <col min="121" max="16384" width="9.1796875" style="471"/>
  </cols>
  <sheetData>
    <row r="1" spans="1:120" s="478" customFormat="1" ht="13" x14ac:dyDescent="0.25">
      <c r="A1" s="472"/>
      <c r="B1" s="473" t="str">
        <f>'Balance Sheet'!B1</f>
        <v>Name of Company</v>
      </c>
      <c r="C1" s="474"/>
      <c r="D1" s="474"/>
      <c r="E1" s="475"/>
      <c r="F1" s="472"/>
      <c r="G1" s="472"/>
      <c r="H1" s="472"/>
      <c r="I1" s="472"/>
      <c r="J1" s="472"/>
      <c r="K1" s="476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  <c r="BA1" s="477"/>
      <c r="BB1" s="477"/>
      <c r="BC1" s="477"/>
      <c r="BD1" s="477"/>
      <c r="BE1" s="477"/>
      <c r="BF1" s="477"/>
      <c r="BG1" s="477"/>
      <c r="BH1" s="477"/>
      <c r="BI1" s="477"/>
      <c r="BJ1" s="477"/>
      <c r="BK1" s="477"/>
      <c r="BL1" s="477"/>
      <c r="BM1" s="477"/>
      <c r="BN1" s="477"/>
      <c r="BO1" s="477"/>
      <c r="BP1" s="477"/>
      <c r="BQ1" s="477"/>
      <c r="BR1" s="477"/>
      <c r="BS1" s="477"/>
      <c r="BT1" s="477"/>
      <c r="BU1" s="477"/>
      <c r="BV1" s="477"/>
      <c r="BW1" s="477"/>
      <c r="BX1" s="477"/>
      <c r="BY1" s="477"/>
      <c r="BZ1" s="477"/>
      <c r="CA1" s="477"/>
      <c r="CB1" s="477"/>
      <c r="CC1" s="477"/>
      <c r="CD1" s="477"/>
      <c r="CE1" s="477"/>
      <c r="CF1" s="477"/>
      <c r="CG1" s="477"/>
      <c r="CH1" s="477"/>
      <c r="CI1" s="477"/>
      <c r="CJ1" s="477"/>
      <c r="CK1" s="477"/>
      <c r="CL1" s="477"/>
      <c r="CM1" s="477"/>
      <c r="CN1" s="477"/>
      <c r="CO1" s="477"/>
      <c r="CP1" s="477"/>
      <c r="CQ1" s="477"/>
      <c r="CR1" s="477"/>
      <c r="CS1" s="477"/>
      <c r="CT1" s="477"/>
      <c r="CU1" s="477"/>
      <c r="CV1" s="477"/>
      <c r="CW1" s="477"/>
      <c r="CX1" s="477"/>
      <c r="CY1" s="477"/>
      <c r="CZ1" s="477"/>
      <c r="DA1" s="477"/>
      <c r="DB1" s="477"/>
      <c r="DC1" s="477"/>
      <c r="DD1" s="477"/>
      <c r="DE1" s="477"/>
      <c r="DF1" s="477"/>
      <c r="DG1" s="477"/>
      <c r="DH1" s="477"/>
      <c r="DI1" s="477"/>
      <c r="DJ1" s="477"/>
      <c r="DK1" s="477"/>
      <c r="DL1" s="477"/>
      <c r="DM1" s="477"/>
      <c r="DN1" s="477"/>
      <c r="DO1" s="477"/>
      <c r="DP1" s="477"/>
    </row>
    <row r="2" spans="1:120" s="483" customFormat="1" x14ac:dyDescent="0.25">
      <c r="A2" s="479"/>
      <c r="B2" s="479"/>
      <c r="C2" s="480"/>
      <c r="D2" s="480"/>
      <c r="E2" s="481"/>
      <c r="F2" s="482"/>
      <c r="G2" s="482"/>
      <c r="H2" s="482"/>
      <c r="I2" s="482"/>
      <c r="J2" s="482"/>
      <c r="K2" s="476"/>
    </row>
    <row r="3" spans="1:120" ht="26" x14ac:dyDescent="0.25">
      <c r="B3" s="485" t="s">
        <v>324</v>
      </c>
    </row>
    <row r="4" spans="1:120" ht="13" x14ac:dyDescent="0.25">
      <c r="B4" s="488"/>
    </row>
    <row r="5" spans="1:120" ht="13" x14ac:dyDescent="0.25">
      <c r="A5" s="487"/>
      <c r="B5" s="489" t="s">
        <v>20</v>
      </c>
      <c r="C5" s="488"/>
      <c r="D5" s="488"/>
      <c r="E5" s="490"/>
      <c r="F5" s="491"/>
      <c r="G5" s="491"/>
      <c r="H5" s="491"/>
      <c r="I5" s="491"/>
      <c r="J5" s="491"/>
    </row>
    <row r="6" spans="1:120" ht="13" thickBot="1" x14ac:dyDescent="0.3">
      <c r="A6" s="471"/>
      <c r="E6" s="484"/>
    </row>
    <row r="7" spans="1:120" ht="13" x14ac:dyDescent="0.3">
      <c r="A7" s="492">
        <v>1</v>
      </c>
      <c r="B7" s="493" t="s">
        <v>336</v>
      </c>
      <c r="C7" s="494"/>
      <c r="D7" s="710" t="s">
        <v>436</v>
      </c>
      <c r="E7" s="496" t="s">
        <v>303</v>
      </c>
      <c r="F7" s="496" t="s">
        <v>317</v>
      </c>
      <c r="G7" s="496" t="s">
        <v>318</v>
      </c>
      <c r="H7" s="496" t="s">
        <v>319</v>
      </c>
      <c r="I7" s="496" t="s">
        <v>320</v>
      </c>
      <c r="J7" s="711" t="s">
        <v>321</v>
      </c>
    </row>
    <row r="8" spans="1:120" x14ac:dyDescent="0.25">
      <c r="A8" s="471"/>
      <c r="B8" s="484" t="s">
        <v>409</v>
      </c>
      <c r="C8" s="486" t="s">
        <v>282</v>
      </c>
      <c r="D8" s="730"/>
      <c r="E8" s="730"/>
      <c r="F8" s="745"/>
      <c r="G8" s="745"/>
      <c r="H8" s="745"/>
      <c r="I8" s="745"/>
      <c r="J8" s="745"/>
    </row>
    <row r="9" spans="1:120" x14ac:dyDescent="0.25">
      <c r="A9" s="471"/>
      <c r="B9" s="484" t="s">
        <v>410</v>
      </c>
      <c r="C9" s="486" t="s">
        <v>282</v>
      </c>
      <c r="D9" s="730"/>
      <c r="E9" s="730"/>
      <c r="F9" s="745"/>
      <c r="G9" s="745"/>
      <c r="H9" s="745"/>
      <c r="I9" s="745"/>
      <c r="J9" s="745"/>
    </row>
    <row r="10" spans="1:120" ht="25" x14ac:dyDescent="0.25">
      <c r="A10" s="471"/>
      <c r="B10" s="484" t="s">
        <v>411</v>
      </c>
      <c r="C10" s="486" t="s">
        <v>412</v>
      </c>
      <c r="E10" s="486"/>
    </row>
    <row r="11" spans="1:120" ht="13" thickBot="1" x14ac:dyDescent="0.3">
      <c r="A11" s="471"/>
      <c r="E11" s="484"/>
    </row>
    <row r="12" spans="1:120" ht="13" x14ac:dyDescent="0.3">
      <c r="A12" s="492">
        <v>1</v>
      </c>
      <c r="B12" s="493" t="s">
        <v>21</v>
      </c>
      <c r="C12" s="494"/>
      <c r="D12" s="710" t="s">
        <v>436</v>
      </c>
      <c r="E12" s="496" t="s">
        <v>303</v>
      </c>
      <c r="F12" s="496" t="s">
        <v>317</v>
      </c>
      <c r="G12" s="496" t="s">
        <v>318</v>
      </c>
      <c r="H12" s="496" t="s">
        <v>319</v>
      </c>
      <c r="I12" s="496" t="s">
        <v>320</v>
      </c>
      <c r="J12" s="711" t="s">
        <v>321</v>
      </c>
    </row>
    <row r="13" spans="1:120" ht="13" x14ac:dyDescent="0.3">
      <c r="A13" s="498"/>
      <c r="B13" s="499" t="s">
        <v>414</v>
      </c>
      <c r="C13" s="500" t="s">
        <v>406</v>
      </c>
      <c r="D13" s="707"/>
      <c r="E13" s="501"/>
      <c r="F13" s="502"/>
      <c r="G13" s="502"/>
      <c r="H13" s="501"/>
      <c r="I13" s="501"/>
      <c r="J13" s="503"/>
      <c r="L13" s="471"/>
      <c r="M13" s="471"/>
      <c r="N13" s="471"/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1"/>
      <c r="Z13" s="471"/>
      <c r="AA13" s="471"/>
      <c r="AB13" s="471"/>
      <c r="AC13" s="471"/>
      <c r="AD13" s="471"/>
      <c r="AE13" s="471"/>
      <c r="AF13" s="471"/>
      <c r="AG13" s="471"/>
      <c r="AH13" s="471"/>
      <c r="AI13" s="471"/>
      <c r="AJ13" s="471"/>
      <c r="AK13" s="471"/>
      <c r="AL13" s="471"/>
      <c r="AM13" s="471"/>
      <c r="AN13" s="471"/>
      <c r="AO13" s="471"/>
      <c r="AP13" s="471"/>
      <c r="AQ13" s="471"/>
      <c r="AR13" s="471"/>
      <c r="AS13" s="471"/>
      <c r="AT13" s="471"/>
      <c r="AU13" s="471"/>
      <c r="AV13" s="471"/>
      <c r="AW13" s="471"/>
      <c r="AX13" s="471"/>
      <c r="AY13" s="471"/>
      <c r="AZ13" s="471"/>
      <c r="BA13" s="471"/>
      <c r="BB13" s="471"/>
      <c r="BC13" s="471"/>
      <c r="BD13" s="471"/>
      <c r="BE13" s="471"/>
      <c r="BF13" s="471"/>
      <c r="BG13" s="471"/>
      <c r="BH13" s="471"/>
      <c r="BI13" s="471"/>
      <c r="BJ13" s="471"/>
      <c r="BK13" s="471"/>
      <c r="BL13" s="471"/>
      <c r="BM13" s="471"/>
      <c r="BN13" s="471"/>
      <c r="BO13" s="471"/>
      <c r="BP13" s="471"/>
      <c r="BQ13" s="471"/>
      <c r="BR13" s="471"/>
      <c r="BS13" s="471"/>
      <c r="BT13" s="471"/>
      <c r="BU13" s="471"/>
      <c r="BV13" s="471"/>
      <c r="BW13" s="471"/>
      <c r="BX13" s="471"/>
      <c r="BY13" s="471"/>
      <c r="BZ13" s="471"/>
      <c r="CA13" s="471"/>
      <c r="CB13" s="471"/>
      <c r="CC13" s="471"/>
      <c r="CD13" s="471"/>
      <c r="CE13" s="471"/>
      <c r="CF13" s="471"/>
      <c r="CG13" s="471"/>
      <c r="CH13" s="471"/>
      <c r="CI13" s="471"/>
      <c r="CJ13" s="471"/>
      <c r="CK13" s="471"/>
      <c r="CL13" s="471"/>
      <c r="CM13" s="471"/>
      <c r="CN13" s="471"/>
      <c r="CO13" s="471"/>
      <c r="CP13" s="471"/>
      <c r="CQ13" s="471"/>
      <c r="CR13" s="471"/>
      <c r="CS13" s="471"/>
      <c r="CT13" s="471"/>
      <c r="CU13" s="471"/>
      <c r="CV13" s="471"/>
      <c r="CW13" s="471"/>
      <c r="CX13" s="471"/>
      <c r="CY13" s="471"/>
      <c r="CZ13" s="471"/>
      <c r="DA13" s="471"/>
      <c r="DB13" s="471"/>
      <c r="DC13" s="471"/>
      <c r="DD13" s="471"/>
      <c r="DE13" s="471"/>
      <c r="DF13" s="471"/>
      <c r="DG13" s="471"/>
      <c r="DH13" s="471"/>
      <c r="DI13" s="471"/>
      <c r="DJ13" s="471"/>
      <c r="DK13" s="471"/>
      <c r="DL13" s="471"/>
      <c r="DM13" s="471"/>
      <c r="DN13" s="471"/>
      <c r="DO13" s="471"/>
      <c r="DP13" s="471"/>
    </row>
    <row r="14" spans="1:120" x14ac:dyDescent="0.25">
      <c r="A14" s="504"/>
      <c r="B14" s="505" t="s">
        <v>415</v>
      </c>
      <c r="C14" s="500" t="s">
        <v>406</v>
      </c>
      <c r="D14" s="500"/>
      <c r="E14" s="506"/>
      <c r="F14" s="507"/>
      <c r="G14" s="507"/>
      <c r="H14" s="507"/>
      <c r="I14" s="507"/>
      <c r="J14" s="508"/>
    </row>
    <row r="15" spans="1:120" x14ac:dyDescent="0.25">
      <c r="A15" s="504"/>
      <c r="B15" s="505" t="s">
        <v>416</v>
      </c>
      <c r="C15" s="500" t="s">
        <v>406</v>
      </c>
      <c r="D15" s="500"/>
      <c r="E15" s="506"/>
      <c r="F15" s="507"/>
      <c r="G15" s="507"/>
      <c r="H15" s="507"/>
      <c r="I15" s="507"/>
      <c r="J15" s="508"/>
    </row>
    <row r="16" spans="1:120" ht="13" x14ac:dyDescent="0.25">
      <c r="A16" s="504"/>
      <c r="B16" s="509" t="s">
        <v>16</v>
      </c>
      <c r="C16" s="510"/>
      <c r="D16" s="510"/>
      <c r="E16" s="511">
        <f>SUM(E13:E15)</f>
        <v>0</v>
      </c>
      <c r="F16" s="511">
        <f t="shared" ref="F16:J16" si="0">SUM(F13:F15)</f>
        <v>0</v>
      </c>
      <c r="G16" s="511">
        <f t="shared" si="0"/>
        <v>0</v>
      </c>
      <c r="H16" s="511">
        <f t="shared" si="0"/>
        <v>0</v>
      </c>
      <c r="I16" s="511">
        <f t="shared" si="0"/>
        <v>0</v>
      </c>
      <c r="J16" s="511">
        <f t="shared" si="0"/>
        <v>0</v>
      </c>
    </row>
    <row r="17" spans="1:120" ht="13" x14ac:dyDescent="0.25">
      <c r="A17" s="504"/>
      <c r="B17" s="512"/>
      <c r="C17" s="513"/>
      <c r="D17" s="513"/>
      <c r="E17" s="512"/>
      <c r="F17" s="512"/>
      <c r="G17" s="512"/>
      <c r="H17" s="512"/>
      <c r="I17" s="512"/>
      <c r="J17" s="514"/>
      <c r="L17" s="471"/>
      <c r="M17" s="471"/>
      <c r="N17" s="471"/>
      <c r="O17" s="471"/>
      <c r="P17" s="471"/>
      <c r="Q17" s="471"/>
      <c r="R17" s="471"/>
      <c r="S17" s="471"/>
      <c r="T17" s="471"/>
      <c r="U17" s="471"/>
      <c r="V17" s="471"/>
      <c r="W17" s="471"/>
      <c r="X17" s="471"/>
      <c r="Y17" s="471"/>
      <c r="Z17" s="471"/>
      <c r="AA17" s="471"/>
      <c r="AB17" s="471"/>
      <c r="AC17" s="471"/>
      <c r="AD17" s="471"/>
      <c r="AE17" s="471"/>
      <c r="AF17" s="471"/>
      <c r="AG17" s="471"/>
      <c r="AH17" s="471"/>
      <c r="AI17" s="471"/>
      <c r="AJ17" s="471"/>
      <c r="AK17" s="471"/>
      <c r="AL17" s="471"/>
      <c r="AM17" s="471"/>
      <c r="AN17" s="471"/>
      <c r="AO17" s="471"/>
      <c r="AP17" s="471"/>
      <c r="AQ17" s="471"/>
      <c r="AR17" s="471"/>
      <c r="AS17" s="471"/>
      <c r="AT17" s="471"/>
      <c r="AU17" s="471"/>
      <c r="AV17" s="471"/>
      <c r="AW17" s="471"/>
      <c r="AX17" s="471"/>
      <c r="AY17" s="471"/>
      <c r="AZ17" s="471"/>
      <c r="BA17" s="471"/>
      <c r="BB17" s="471"/>
      <c r="BC17" s="471"/>
      <c r="BD17" s="471"/>
      <c r="BE17" s="471"/>
      <c r="BF17" s="471"/>
      <c r="BG17" s="471"/>
      <c r="BH17" s="471"/>
      <c r="BI17" s="471"/>
      <c r="BJ17" s="471"/>
      <c r="BK17" s="471"/>
      <c r="BL17" s="471"/>
      <c r="BM17" s="471"/>
      <c r="BN17" s="471"/>
      <c r="BO17" s="471"/>
      <c r="BP17" s="471"/>
      <c r="BQ17" s="471"/>
      <c r="BR17" s="471"/>
      <c r="BS17" s="471"/>
      <c r="BT17" s="471"/>
      <c r="BU17" s="471"/>
      <c r="BV17" s="471"/>
      <c r="BW17" s="471"/>
      <c r="BX17" s="471"/>
      <c r="BY17" s="471"/>
      <c r="BZ17" s="471"/>
      <c r="CA17" s="471"/>
      <c r="CB17" s="471"/>
      <c r="CC17" s="471"/>
      <c r="CD17" s="471"/>
      <c r="CE17" s="471"/>
      <c r="CF17" s="471"/>
      <c r="CG17" s="471"/>
      <c r="CH17" s="471"/>
      <c r="CI17" s="471"/>
      <c r="CJ17" s="471"/>
      <c r="CK17" s="471"/>
      <c r="CL17" s="471"/>
      <c r="CM17" s="471"/>
      <c r="CN17" s="471"/>
      <c r="CO17" s="471"/>
      <c r="CP17" s="471"/>
      <c r="CQ17" s="471"/>
      <c r="CR17" s="471"/>
      <c r="CS17" s="471"/>
      <c r="CT17" s="471"/>
      <c r="CU17" s="471"/>
      <c r="CV17" s="471"/>
      <c r="CW17" s="471"/>
      <c r="CX17" s="471"/>
      <c r="CY17" s="471"/>
      <c r="CZ17" s="471"/>
      <c r="DA17" s="471"/>
      <c r="DB17" s="471"/>
      <c r="DC17" s="471"/>
      <c r="DD17" s="471"/>
      <c r="DE17" s="471"/>
      <c r="DF17" s="471"/>
      <c r="DG17" s="471"/>
      <c r="DH17" s="471"/>
      <c r="DI17" s="471"/>
      <c r="DJ17" s="471"/>
      <c r="DK17" s="471"/>
      <c r="DL17" s="471"/>
      <c r="DM17" s="471"/>
      <c r="DN17" s="471"/>
      <c r="DO17" s="471"/>
      <c r="DP17" s="471"/>
    </row>
    <row r="18" spans="1:120" ht="13" x14ac:dyDescent="0.3">
      <c r="A18" s="515">
        <v>2</v>
      </c>
      <c r="B18" s="516" t="s">
        <v>38</v>
      </c>
      <c r="C18" s="517"/>
      <c r="D18" s="712" t="s">
        <v>436</v>
      </c>
      <c r="E18" s="553" t="s">
        <v>303</v>
      </c>
      <c r="F18" s="553" t="s">
        <v>317</v>
      </c>
      <c r="G18" s="553" t="s">
        <v>318</v>
      </c>
      <c r="H18" s="553" t="s">
        <v>319</v>
      </c>
      <c r="I18" s="553" t="s">
        <v>320</v>
      </c>
      <c r="J18" s="554" t="s">
        <v>321</v>
      </c>
    </row>
    <row r="19" spans="1:120" x14ac:dyDescent="0.25">
      <c r="A19" s="504"/>
      <c r="B19" s="506" t="s">
        <v>56</v>
      </c>
      <c r="C19" s="500" t="s">
        <v>406</v>
      </c>
      <c r="D19" s="500"/>
      <c r="E19" s="506"/>
      <c r="F19" s="521"/>
      <c r="G19" s="521">
        <f>F19*(1+$G$29)</f>
        <v>0</v>
      </c>
      <c r="H19" s="521">
        <f>G19*(1+$H$29)</f>
        <v>0</v>
      </c>
      <c r="I19" s="521">
        <f>H19*(1+$I$29)</f>
        <v>0</v>
      </c>
      <c r="J19" s="522">
        <f>I19*(1+$J$27)</f>
        <v>0</v>
      </c>
    </row>
    <row r="20" spans="1:120" x14ac:dyDescent="0.25">
      <c r="A20" s="504"/>
      <c r="B20" s="523" t="s">
        <v>22</v>
      </c>
      <c r="C20" s="524" t="s">
        <v>407</v>
      </c>
      <c r="D20" s="524"/>
      <c r="E20" s="523"/>
      <c r="F20" s="525"/>
      <c r="G20" s="521">
        <f t="shared" ref="G20:G26" si="1">F20*(1+$G$29)</f>
        <v>0</v>
      </c>
      <c r="H20" s="521">
        <f t="shared" ref="H20:H26" si="2">G20*(1+$H$29)</f>
        <v>0</v>
      </c>
      <c r="I20" s="521">
        <f t="shared" ref="I20:I26" si="3">H20*(1+$I$29)</f>
        <v>0</v>
      </c>
      <c r="J20" s="522">
        <f t="shared" ref="J20:J26" si="4">I20*(1+$J$27)</f>
        <v>0</v>
      </c>
    </row>
    <row r="21" spans="1:120" ht="25" x14ac:dyDescent="0.25">
      <c r="A21" s="504"/>
      <c r="B21" s="500" t="s">
        <v>90</v>
      </c>
      <c r="C21" s="500" t="s">
        <v>407</v>
      </c>
      <c r="D21" s="500"/>
      <c r="E21" s="506"/>
      <c r="F21" s="526"/>
      <c r="G21" s="521">
        <f t="shared" si="1"/>
        <v>0</v>
      </c>
      <c r="H21" s="521">
        <f t="shared" si="2"/>
        <v>0</v>
      </c>
      <c r="I21" s="521">
        <f t="shared" si="3"/>
        <v>0</v>
      </c>
      <c r="J21" s="522">
        <f t="shared" si="4"/>
        <v>0</v>
      </c>
    </row>
    <row r="22" spans="1:120" ht="25" x14ac:dyDescent="0.25">
      <c r="A22" s="504"/>
      <c r="B22" s="500" t="s">
        <v>23</v>
      </c>
      <c r="C22" s="500" t="s">
        <v>407</v>
      </c>
      <c r="D22" s="500"/>
      <c r="E22" s="506"/>
      <c r="F22" s="526"/>
      <c r="G22" s="521">
        <f t="shared" si="1"/>
        <v>0</v>
      </c>
      <c r="H22" s="521">
        <f t="shared" si="2"/>
        <v>0</v>
      </c>
      <c r="I22" s="521">
        <f t="shared" si="3"/>
        <v>0</v>
      </c>
      <c r="J22" s="522">
        <f t="shared" si="4"/>
        <v>0</v>
      </c>
    </row>
    <row r="23" spans="1:120" x14ac:dyDescent="0.25">
      <c r="A23" s="504"/>
      <c r="B23" s="506" t="s">
        <v>24</v>
      </c>
      <c r="C23" s="500" t="s">
        <v>406</v>
      </c>
      <c r="D23" s="500"/>
      <c r="E23" s="506"/>
      <c r="F23" s="526"/>
      <c r="G23" s="521">
        <f t="shared" si="1"/>
        <v>0</v>
      </c>
      <c r="H23" s="521">
        <f t="shared" si="2"/>
        <v>0</v>
      </c>
      <c r="I23" s="521">
        <f t="shared" si="3"/>
        <v>0</v>
      </c>
      <c r="J23" s="522">
        <f t="shared" si="4"/>
        <v>0</v>
      </c>
    </row>
    <row r="24" spans="1:120" x14ac:dyDescent="0.25">
      <c r="A24" s="504"/>
      <c r="B24" s="506" t="s">
        <v>25</v>
      </c>
      <c r="C24" s="500" t="s">
        <v>406</v>
      </c>
      <c r="D24" s="500"/>
      <c r="E24" s="506"/>
      <c r="F24" s="526"/>
      <c r="G24" s="521">
        <f t="shared" si="1"/>
        <v>0</v>
      </c>
      <c r="H24" s="521">
        <f t="shared" si="2"/>
        <v>0</v>
      </c>
      <c r="I24" s="521">
        <f t="shared" si="3"/>
        <v>0</v>
      </c>
      <c r="J24" s="522">
        <f t="shared" si="4"/>
        <v>0</v>
      </c>
    </row>
    <row r="25" spans="1:120" x14ac:dyDescent="0.25">
      <c r="A25" s="504"/>
      <c r="B25" s="506" t="s">
        <v>26</v>
      </c>
      <c r="C25" s="500" t="s">
        <v>406</v>
      </c>
      <c r="D25" s="500"/>
      <c r="E25" s="506"/>
      <c r="F25" s="526"/>
      <c r="G25" s="521">
        <f t="shared" si="1"/>
        <v>0</v>
      </c>
      <c r="H25" s="521">
        <f t="shared" si="2"/>
        <v>0</v>
      </c>
      <c r="I25" s="521">
        <f t="shared" si="3"/>
        <v>0</v>
      </c>
      <c r="J25" s="522">
        <f t="shared" si="4"/>
        <v>0</v>
      </c>
    </row>
    <row r="26" spans="1:120" x14ac:dyDescent="0.25">
      <c r="A26" s="504"/>
      <c r="B26" s="523" t="s">
        <v>27</v>
      </c>
      <c r="C26" s="500" t="s">
        <v>406</v>
      </c>
      <c r="D26" s="500"/>
      <c r="E26" s="523"/>
      <c r="F26" s="521"/>
      <c r="G26" s="521">
        <f t="shared" si="1"/>
        <v>0</v>
      </c>
      <c r="H26" s="521">
        <f t="shared" si="2"/>
        <v>0</v>
      </c>
      <c r="I26" s="521">
        <f t="shared" si="3"/>
        <v>0</v>
      </c>
      <c r="J26" s="522">
        <f t="shared" si="4"/>
        <v>0</v>
      </c>
    </row>
    <row r="27" spans="1:120" x14ac:dyDescent="0.25">
      <c r="A27" s="504"/>
      <c r="B27" s="506" t="s">
        <v>51</v>
      </c>
      <c r="C27" s="500" t="s">
        <v>18</v>
      </c>
      <c r="D27" s="500"/>
      <c r="E27" s="506"/>
      <c r="F27" s="527">
        <v>2.5000000000000001E-3</v>
      </c>
      <c r="G27" s="527">
        <v>2.5000000000000001E-3</v>
      </c>
      <c r="H27" s="527">
        <v>2.5000000000000001E-3</v>
      </c>
      <c r="I27" s="527">
        <v>2.5000000000000001E-3</v>
      </c>
      <c r="J27" s="528">
        <v>2.5000000000000001E-3</v>
      </c>
      <c r="K27" s="476" t="s">
        <v>405</v>
      </c>
    </row>
    <row r="28" spans="1:120" x14ac:dyDescent="0.25">
      <c r="A28" s="504"/>
      <c r="B28" s="523"/>
      <c r="C28" s="524"/>
      <c r="D28" s="524"/>
      <c r="E28" s="523"/>
      <c r="F28" s="523"/>
      <c r="G28" s="523"/>
      <c r="H28" s="523"/>
      <c r="I28" s="523"/>
      <c r="J28" s="529"/>
    </row>
    <row r="29" spans="1:120" x14ac:dyDescent="0.25">
      <c r="A29" s="504"/>
      <c r="B29" s="523" t="s">
        <v>408</v>
      </c>
      <c r="C29" s="500" t="s">
        <v>28</v>
      </c>
      <c r="D29" s="500"/>
      <c r="E29" s="506"/>
      <c r="F29" s="530" t="s">
        <v>72</v>
      </c>
      <c r="G29" s="531">
        <v>0.05</v>
      </c>
      <c r="H29" s="531">
        <v>0.05</v>
      </c>
      <c r="I29" s="531">
        <v>0.05</v>
      </c>
      <c r="J29" s="532">
        <v>0.05</v>
      </c>
      <c r="K29" s="476" t="s">
        <v>405</v>
      </c>
    </row>
    <row r="30" spans="1:120" x14ac:dyDescent="0.25">
      <c r="A30" s="504"/>
      <c r="B30" s="523"/>
      <c r="C30" s="524"/>
      <c r="D30" s="524"/>
      <c r="E30" s="523"/>
      <c r="F30" s="523"/>
      <c r="G30" s="523"/>
      <c r="H30" s="523"/>
      <c r="I30" s="523"/>
      <c r="J30" s="529"/>
    </row>
    <row r="31" spans="1:120" x14ac:dyDescent="0.25">
      <c r="A31" s="533"/>
      <c r="B31" s="534"/>
      <c r="C31" s="535"/>
      <c r="D31" s="535"/>
      <c r="E31" s="534"/>
      <c r="F31" s="534"/>
      <c r="G31" s="534"/>
      <c r="H31" s="534"/>
      <c r="I31" s="534"/>
      <c r="J31" s="536"/>
    </row>
    <row r="32" spans="1:120" ht="26" x14ac:dyDescent="0.3">
      <c r="A32" s="537">
        <v>3</v>
      </c>
      <c r="B32" s="538" t="s">
        <v>403</v>
      </c>
      <c r="C32" s="518" t="s">
        <v>42</v>
      </c>
      <c r="D32" s="518"/>
      <c r="E32" s="518" t="s">
        <v>303</v>
      </c>
      <c r="F32" s="519" t="s">
        <v>317</v>
      </c>
      <c r="G32" s="519" t="s">
        <v>318</v>
      </c>
      <c r="H32" s="518" t="s">
        <v>319</v>
      </c>
      <c r="I32" s="518" t="s">
        <v>320</v>
      </c>
      <c r="J32" s="520" t="s">
        <v>321</v>
      </c>
    </row>
    <row r="33" spans="1:10" x14ac:dyDescent="0.25">
      <c r="A33" s="504"/>
      <c r="B33" s="539" t="s">
        <v>43</v>
      </c>
      <c r="C33" s="539" t="s">
        <v>92</v>
      </c>
      <c r="D33" s="539"/>
      <c r="E33" s="604"/>
      <c r="F33" s="604"/>
      <c r="G33" s="540"/>
      <c r="H33" s="540"/>
      <c r="I33" s="540"/>
      <c r="J33" s="541"/>
    </row>
    <row r="34" spans="1:10" x14ac:dyDescent="0.25">
      <c r="A34" s="504"/>
      <c r="B34" s="539" t="s">
        <v>287</v>
      </c>
      <c r="C34" s="539"/>
      <c r="D34" s="539"/>
      <c r="E34" s="604"/>
      <c r="F34" s="604"/>
      <c r="G34" s="540"/>
      <c r="H34" s="540"/>
      <c r="I34" s="540"/>
      <c r="J34" s="541"/>
    </row>
    <row r="35" spans="1:10" x14ac:dyDescent="0.25">
      <c r="A35" s="460"/>
      <c r="B35" s="542" t="s">
        <v>44</v>
      </c>
      <c r="C35" s="542"/>
      <c r="D35" s="542"/>
      <c r="E35" s="604"/>
      <c r="F35" s="604"/>
      <c r="G35" s="543"/>
      <c r="H35" s="543"/>
      <c r="I35" s="543"/>
      <c r="J35" s="544"/>
    </row>
    <row r="36" spans="1:10" x14ac:dyDescent="0.25">
      <c r="A36" s="460"/>
      <c r="B36" s="542" t="s">
        <v>402</v>
      </c>
      <c r="C36" s="542"/>
      <c r="D36" s="542"/>
      <c r="E36" s="604"/>
      <c r="F36" s="604"/>
      <c r="G36" s="543"/>
      <c r="H36" s="543"/>
      <c r="I36" s="543"/>
      <c r="J36" s="544"/>
    </row>
    <row r="37" spans="1:10" x14ac:dyDescent="0.25">
      <c r="A37" s="504"/>
      <c r="B37" s="539" t="s">
        <v>46</v>
      </c>
      <c r="C37" s="539"/>
      <c r="D37" s="539"/>
      <c r="E37" s="545"/>
      <c r="F37" s="545"/>
      <c r="G37" s="540"/>
      <c r="H37" s="540"/>
      <c r="I37" s="540"/>
      <c r="J37" s="541"/>
    </row>
    <row r="38" spans="1:10" x14ac:dyDescent="0.25">
      <c r="A38" s="504"/>
      <c r="B38" s="539" t="s">
        <v>47</v>
      </c>
      <c r="C38" s="539"/>
      <c r="D38" s="539"/>
      <c r="E38" s="545"/>
      <c r="F38" s="545"/>
      <c r="G38" s="540"/>
      <c r="H38" s="540"/>
      <c r="I38" s="540"/>
      <c r="J38" s="541"/>
    </row>
    <row r="39" spans="1:10" x14ac:dyDescent="0.25">
      <c r="A39" s="504"/>
      <c r="B39" s="539" t="s">
        <v>48</v>
      </c>
      <c r="C39" s="539"/>
      <c r="D39" s="539"/>
      <c r="E39" s="545"/>
      <c r="F39" s="545"/>
      <c r="G39" s="540"/>
      <c r="H39" s="540"/>
      <c r="I39" s="540"/>
      <c r="J39" s="541"/>
    </row>
    <row r="40" spans="1:10" x14ac:dyDescent="0.25">
      <c r="A40" s="504"/>
      <c r="B40" s="539" t="s">
        <v>49</v>
      </c>
      <c r="C40" s="539"/>
      <c r="D40" s="539"/>
      <c r="E40" s="545"/>
      <c r="F40" s="545"/>
      <c r="G40" s="540"/>
      <c r="H40" s="540"/>
      <c r="I40" s="540"/>
      <c r="J40" s="541"/>
    </row>
    <row r="41" spans="1:10" ht="13" x14ac:dyDescent="0.3">
      <c r="A41" s="504"/>
      <c r="B41" s="539"/>
      <c r="C41" s="546" t="s">
        <v>41</v>
      </c>
      <c r="D41" s="546"/>
      <c r="E41" s="547">
        <f t="shared" ref="E41:J41" si="5">SUM(E33:E40)</f>
        <v>0</v>
      </c>
      <c r="F41" s="547">
        <f t="shared" si="5"/>
        <v>0</v>
      </c>
      <c r="G41" s="548">
        <f t="shared" si="5"/>
        <v>0</v>
      </c>
      <c r="H41" s="548">
        <f t="shared" si="5"/>
        <v>0</v>
      </c>
      <c r="I41" s="548">
        <f t="shared" si="5"/>
        <v>0</v>
      </c>
      <c r="J41" s="549">
        <f t="shared" si="5"/>
        <v>0</v>
      </c>
    </row>
    <row r="42" spans="1:10" ht="13" x14ac:dyDescent="0.3">
      <c r="A42" s="550"/>
      <c r="B42" s="551" t="s">
        <v>404</v>
      </c>
      <c r="C42" s="552"/>
      <c r="D42" s="552"/>
      <c r="E42" s="553" t="s">
        <v>303</v>
      </c>
      <c r="F42" s="553" t="s">
        <v>317</v>
      </c>
      <c r="G42" s="553" t="s">
        <v>318</v>
      </c>
      <c r="H42" s="553" t="s">
        <v>319</v>
      </c>
      <c r="I42" s="553" t="s">
        <v>320</v>
      </c>
      <c r="J42" s="554" t="s">
        <v>321</v>
      </c>
    </row>
    <row r="43" spans="1:10" x14ac:dyDescent="0.25">
      <c r="A43" s="460"/>
      <c r="B43" s="542" t="s">
        <v>43</v>
      </c>
      <c r="C43" s="542"/>
      <c r="D43" s="542"/>
      <c r="E43" s="555"/>
      <c r="F43" s="464"/>
      <c r="G43" s="545"/>
      <c r="H43" s="545"/>
      <c r="I43" s="545"/>
      <c r="J43" s="556"/>
    </row>
    <row r="44" spans="1:10" x14ac:dyDescent="0.25">
      <c r="A44" s="460"/>
      <c r="B44" s="542" t="s">
        <v>287</v>
      </c>
      <c r="C44" s="542"/>
      <c r="D44" s="542"/>
      <c r="E44" s="555"/>
      <c r="F44" s="464"/>
      <c r="G44" s="545"/>
      <c r="H44" s="545"/>
      <c r="I44" s="545"/>
      <c r="J44" s="556"/>
    </row>
    <row r="45" spans="1:10" x14ac:dyDescent="0.25">
      <c r="A45" s="460"/>
      <c r="B45" s="542" t="s">
        <v>44</v>
      </c>
      <c r="C45" s="542"/>
      <c r="D45" s="542"/>
      <c r="E45" s="555"/>
      <c r="F45" s="464"/>
      <c r="G45" s="545"/>
      <c r="H45" s="545"/>
      <c r="I45" s="545"/>
      <c r="J45" s="556"/>
    </row>
    <row r="46" spans="1:10" x14ac:dyDescent="0.25">
      <c r="A46" s="460"/>
      <c r="B46" s="542" t="s">
        <v>401</v>
      </c>
      <c r="C46" s="542"/>
      <c r="D46" s="542"/>
      <c r="E46" s="555"/>
      <c r="F46" s="464"/>
      <c r="G46" s="545"/>
      <c r="H46" s="545"/>
      <c r="I46" s="545"/>
      <c r="J46" s="556"/>
    </row>
    <row r="47" spans="1:10" x14ac:dyDescent="0.25">
      <c r="A47" s="460"/>
      <c r="B47" s="542" t="s">
        <v>46</v>
      </c>
      <c r="C47" s="542"/>
      <c r="D47" s="542"/>
      <c r="E47" s="555"/>
      <c r="F47" s="464"/>
      <c r="G47" s="545"/>
      <c r="H47" s="545"/>
      <c r="I47" s="545"/>
      <c r="J47" s="556"/>
    </row>
    <row r="48" spans="1:10" x14ac:dyDescent="0.25">
      <c r="A48" s="460"/>
      <c r="B48" s="542" t="s">
        <v>47</v>
      </c>
      <c r="C48" s="542"/>
      <c r="D48" s="542"/>
      <c r="E48" s="555"/>
      <c r="F48" s="464"/>
      <c r="G48" s="545"/>
      <c r="H48" s="545"/>
      <c r="I48" s="545"/>
      <c r="J48" s="556"/>
    </row>
    <row r="49" spans="1:120" x14ac:dyDescent="0.25">
      <c r="A49" s="460"/>
      <c r="B49" s="542" t="s">
        <v>48</v>
      </c>
      <c r="C49" s="542"/>
      <c r="D49" s="542"/>
      <c r="E49" s="555"/>
      <c r="F49" s="464"/>
      <c r="G49" s="545"/>
      <c r="H49" s="545"/>
      <c r="I49" s="545"/>
      <c r="J49" s="556"/>
    </row>
    <row r="50" spans="1:120" x14ac:dyDescent="0.25">
      <c r="A50" s="460"/>
      <c r="B50" s="542" t="s">
        <v>49</v>
      </c>
      <c r="C50" s="542"/>
      <c r="D50" s="542"/>
      <c r="E50" s="555"/>
      <c r="F50" s="464"/>
      <c r="G50" s="545"/>
      <c r="H50" s="545"/>
      <c r="I50" s="545"/>
      <c r="J50" s="556"/>
    </row>
    <row r="51" spans="1:120" x14ac:dyDescent="0.25">
      <c r="A51" s="504"/>
      <c r="B51" s="539"/>
      <c r="C51" s="539" t="s">
        <v>50</v>
      </c>
      <c r="D51" s="539"/>
      <c r="E51" s="539"/>
      <c r="F51" s="557">
        <v>0.1</v>
      </c>
      <c r="G51" s="539"/>
      <c r="H51" s="539"/>
      <c r="I51" s="539"/>
      <c r="J51" s="558"/>
    </row>
    <row r="52" spans="1:120" ht="13" x14ac:dyDescent="0.3">
      <c r="A52" s="550"/>
      <c r="B52" s="559" t="s">
        <v>271</v>
      </c>
      <c r="C52" s="552"/>
      <c r="D52" s="552"/>
      <c r="E52" s="552"/>
      <c r="F52" s="552"/>
      <c r="G52" s="552"/>
      <c r="H52" s="552"/>
      <c r="I52" s="552"/>
      <c r="J52" s="560"/>
    </row>
    <row r="53" spans="1:120" x14ac:dyDescent="0.25">
      <c r="A53" s="504"/>
      <c r="B53" s="539" t="s">
        <v>43</v>
      </c>
      <c r="C53" s="539"/>
      <c r="D53" s="539"/>
      <c r="E53" s="605"/>
      <c r="F53" s="605">
        <f>F33*F43</f>
        <v>0</v>
      </c>
      <c r="G53" s="605">
        <f t="shared" ref="G53:J53" si="6">G33*G43</f>
        <v>0</v>
      </c>
      <c r="H53" s="605">
        <f t="shared" si="6"/>
        <v>0</v>
      </c>
      <c r="I53" s="605">
        <f t="shared" si="6"/>
        <v>0</v>
      </c>
      <c r="J53" s="605">
        <f t="shared" si="6"/>
        <v>0</v>
      </c>
    </row>
    <row r="54" spans="1:120" x14ac:dyDescent="0.25">
      <c r="A54" s="504"/>
      <c r="B54" s="539" t="s">
        <v>287</v>
      </c>
      <c r="C54" s="539"/>
      <c r="D54" s="539"/>
      <c r="E54" s="605"/>
      <c r="F54" s="605">
        <f t="shared" ref="F54:J60" si="7">F34*F44</f>
        <v>0</v>
      </c>
      <c r="G54" s="605">
        <f t="shared" si="7"/>
        <v>0</v>
      </c>
      <c r="H54" s="605">
        <f t="shared" si="7"/>
        <v>0</v>
      </c>
      <c r="I54" s="605">
        <f t="shared" si="7"/>
        <v>0</v>
      </c>
      <c r="J54" s="605">
        <f t="shared" si="7"/>
        <v>0</v>
      </c>
    </row>
    <row r="55" spans="1:120" x14ac:dyDescent="0.25">
      <c r="A55" s="504"/>
      <c r="B55" s="539" t="s">
        <v>44</v>
      </c>
      <c r="C55" s="539"/>
      <c r="D55" s="539"/>
      <c r="E55" s="605"/>
      <c r="F55" s="605">
        <f t="shared" si="7"/>
        <v>0</v>
      </c>
      <c r="G55" s="605">
        <f t="shared" si="7"/>
        <v>0</v>
      </c>
      <c r="H55" s="605">
        <f t="shared" si="7"/>
        <v>0</v>
      </c>
      <c r="I55" s="605">
        <f t="shared" si="7"/>
        <v>0</v>
      </c>
      <c r="J55" s="605">
        <f t="shared" si="7"/>
        <v>0</v>
      </c>
    </row>
    <row r="56" spans="1:120" x14ac:dyDescent="0.25">
      <c r="A56" s="504"/>
      <c r="B56" s="539" t="s">
        <v>45</v>
      </c>
      <c r="C56" s="539"/>
      <c r="D56" s="539"/>
      <c r="E56" s="605"/>
      <c r="F56" s="605">
        <f t="shared" si="7"/>
        <v>0</v>
      </c>
      <c r="G56" s="605">
        <f t="shared" si="7"/>
        <v>0</v>
      </c>
      <c r="H56" s="605">
        <f t="shared" si="7"/>
        <v>0</v>
      </c>
      <c r="I56" s="605">
        <f t="shared" si="7"/>
        <v>0</v>
      </c>
      <c r="J56" s="605">
        <f t="shared" si="7"/>
        <v>0</v>
      </c>
    </row>
    <row r="57" spans="1:120" x14ac:dyDescent="0.25">
      <c r="A57" s="504"/>
      <c r="B57" s="539" t="s">
        <v>46</v>
      </c>
      <c r="C57" s="539"/>
      <c r="D57" s="539"/>
      <c r="E57" s="605"/>
      <c r="F57" s="605">
        <f t="shared" si="7"/>
        <v>0</v>
      </c>
      <c r="G57" s="605">
        <f t="shared" si="7"/>
        <v>0</v>
      </c>
      <c r="H57" s="605">
        <f t="shared" si="7"/>
        <v>0</v>
      </c>
      <c r="I57" s="605">
        <f t="shared" si="7"/>
        <v>0</v>
      </c>
      <c r="J57" s="605">
        <f t="shared" si="7"/>
        <v>0</v>
      </c>
    </row>
    <row r="58" spans="1:120" x14ac:dyDescent="0.25">
      <c r="A58" s="504"/>
      <c r="B58" s="539" t="s">
        <v>47</v>
      </c>
      <c r="C58" s="539"/>
      <c r="D58" s="539"/>
      <c r="E58" s="605"/>
      <c r="F58" s="605">
        <f t="shared" si="7"/>
        <v>0</v>
      </c>
      <c r="G58" s="605">
        <f t="shared" si="7"/>
        <v>0</v>
      </c>
      <c r="H58" s="605">
        <f t="shared" si="7"/>
        <v>0</v>
      </c>
      <c r="I58" s="605">
        <f t="shared" si="7"/>
        <v>0</v>
      </c>
      <c r="J58" s="605">
        <f t="shared" si="7"/>
        <v>0</v>
      </c>
    </row>
    <row r="59" spans="1:120" x14ac:dyDescent="0.25">
      <c r="A59" s="504"/>
      <c r="B59" s="539" t="s">
        <v>48</v>
      </c>
      <c r="C59" s="539"/>
      <c r="D59" s="539"/>
      <c r="E59" s="605"/>
      <c r="F59" s="605">
        <f t="shared" si="7"/>
        <v>0</v>
      </c>
      <c r="G59" s="605">
        <f t="shared" si="7"/>
        <v>0</v>
      </c>
      <c r="H59" s="605">
        <f t="shared" si="7"/>
        <v>0</v>
      </c>
      <c r="I59" s="605">
        <f t="shared" si="7"/>
        <v>0</v>
      </c>
      <c r="J59" s="605">
        <f t="shared" si="7"/>
        <v>0</v>
      </c>
    </row>
    <row r="60" spans="1:120" x14ac:dyDescent="0.25">
      <c r="A60" s="504"/>
      <c r="B60" s="539" t="s">
        <v>49</v>
      </c>
      <c r="C60" s="539"/>
      <c r="D60" s="539"/>
      <c r="E60" s="605"/>
      <c r="F60" s="605">
        <f t="shared" si="7"/>
        <v>0</v>
      </c>
      <c r="G60" s="605">
        <f t="shared" si="7"/>
        <v>0</v>
      </c>
      <c r="H60" s="605">
        <f t="shared" si="7"/>
        <v>0</v>
      </c>
      <c r="I60" s="605">
        <f t="shared" si="7"/>
        <v>0</v>
      </c>
      <c r="J60" s="605">
        <f t="shared" si="7"/>
        <v>0</v>
      </c>
    </row>
    <row r="61" spans="1:120" ht="13.5" thickBot="1" x14ac:dyDescent="0.35">
      <c r="A61" s="561"/>
      <c r="B61" s="562" t="s">
        <v>16</v>
      </c>
      <c r="C61" s="562"/>
      <c r="D61" s="562"/>
      <c r="E61" s="563">
        <f t="shared" ref="E61:J61" si="8">SUM(E53:E60)</f>
        <v>0</v>
      </c>
      <c r="F61" s="563">
        <f t="shared" si="8"/>
        <v>0</v>
      </c>
      <c r="G61" s="563">
        <f t="shared" si="8"/>
        <v>0</v>
      </c>
      <c r="H61" s="563">
        <f t="shared" si="8"/>
        <v>0</v>
      </c>
      <c r="I61" s="563">
        <f t="shared" si="8"/>
        <v>0</v>
      </c>
      <c r="J61" s="564">
        <f t="shared" si="8"/>
        <v>0</v>
      </c>
    </row>
    <row r="62" spans="1:120" ht="13" thickBot="1" x14ac:dyDescent="0.3"/>
    <row r="63" spans="1:120" ht="26" x14ac:dyDescent="0.25">
      <c r="A63" s="565"/>
      <c r="B63" s="566" t="s">
        <v>316</v>
      </c>
      <c r="C63" s="567"/>
      <c r="D63" s="708"/>
      <c r="E63" s="568" t="s">
        <v>303</v>
      </c>
      <c r="F63" s="569" t="s">
        <v>317</v>
      </c>
      <c r="G63" s="569" t="s">
        <v>318</v>
      </c>
      <c r="H63" s="568" t="s">
        <v>319</v>
      </c>
      <c r="I63" s="568" t="s">
        <v>320</v>
      </c>
      <c r="J63" s="570" t="s">
        <v>321</v>
      </c>
    </row>
    <row r="64" spans="1:120" ht="13.5" thickBot="1" x14ac:dyDescent="0.3">
      <c r="A64" s="571"/>
      <c r="B64" s="572"/>
      <c r="C64" s="573"/>
      <c r="D64" s="573"/>
      <c r="E64" s="574"/>
      <c r="F64" s="574"/>
      <c r="G64" s="574"/>
      <c r="H64" s="574"/>
      <c r="I64" s="574"/>
      <c r="J64" s="575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1"/>
      <c r="AB64" s="471"/>
      <c r="AC64" s="471"/>
      <c r="AD64" s="471"/>
      <c r="AE64" s="471"/>
      <c r="AF64" s="471"/>
      <c r="AG64" s="471"/>
      <c r="AH64" s="471"/>
      <c r="AI64" s="471"/>
      <c r="AJ64" s="471"/>
      <c r="AK64" s="471"/>
      <c r="AL64" s="471"/>
      <c r="AM64" s="471"/>
      <c r="AN64" s="471"/>
      <c r="AO64" s="471"/>
      <c r="AP64" s="471"/>
      <c r="AQ64" s="471"/>
      <c r="AR64" s="471"/>
      <c r="AS64" s="471"/>
      <c r="AT64" s="471"/>
      <c r="AU64" s="471"/>
      <c r="AV64" s="471"/>
      <c r="AW64" s="471"/>
      <c r="AX64" s="471"/>
      <c r="AY64" s="471"/>
      <c r="AZ64" s="471"/>
      <c r="BA64" s="471"/>
      <c r="BB64" s="471"/>
      <c r="BC64" s="471"/>
      <c r="BD64" s="471"/>
      <c r="BE64" s="471"/>
      <c r="BF64" s="471"/>
      <c r="BG64" s="471"/>
      <c r="BH64" s="471"/>
      <c r="BI64" s="471"/>
      <c r="BJ64" s="471"/>
      <c r="BK64" s="471"/>
      <c r="BL64" s="471"/>
      <c r="BM64" s="471"/>
      <c r="BN64" s="471"/>
      <c r="BO64" s="471"/>
      <c r="BP64" s="471"/>
      <c r="BQ64" s="471"/>
      <c r="BR64" s="471"/>
      <c r="BS64" s="471"/>
      <c r="BT64" s="471"/>
      <c r="BU64" s="471"/>
      <c r="BV64" s="471"/>
      <c r="BW64" s="471"/>
      <c r="BX64" s="471"/>
      <c r="BY64" s="471"/>
      <c r="BZ64" s="471"/>
      <c r="CA64" s="471"/>
      <c r="CB64" s="471"/>
      <c r="CC64" s="471"/>
      <c r="CD64" s="471"/>
      <c r="CE64" s="471"/>
      <c r="CF64" s="471"/>
      <c r="CG64" s="471"/>
      <c r="CH64" s="471"/>
      <c r="CI64" s="471"/>
      <c r="CJ64" s="471"/>
      <c r="CK64" s="471"/>
      <c r="CL64" s="471"/>
      <c r="CM64" s="471"/>
      <c r="CN64" s="471"/>
      <c r="CO64" s="471"/>
      <c r="CP64" s="471"/>
      <c r="CQ64" s="471"/>
      <c r="CR64" s="471"/>
      <c r="CS64" s="471"/>
      <c r="CT64" s="471"/>
      <c r="CU64" s="471"/>
      <c r="CV64" s="471"/>
      <c r="CW64" s="471"/>
      <c r="CX64" s="471"/>
      <c r="CY64" s="471"/>
      <c r="CZ64" s="471"/>
      <c r="DA64" s="471"/>
      <c r="DB64" s="471"/>
      <c r="DC64" s="471"/>
      <c r="DD64" s="471"/>
      <c r="DE64" s="471"/>
      <c r="DF64" s="471"/>
      <c r="DG64" s="471"/>
      <c r="DH64" s="471"/>
      <c r="DI64" s="471"/>
      <c r="DJ64" s="471"/>
      <c r="DK64" s="471"/>
      <c r="DL64" s="471"/>
      <c r="DM64" s="471"/>
      <c r="DN64" s="471"/>
      <c r="DO64" s="471"/>
      <c r="DP64" s="471"/>
    </row>
    <row r="65" spans="1:10" ht="13" x14ac:dyDescent="0.25">
      <c r="A65" s="576">
        <v>1</v>
      </c>
      <c r="B65" s="493" t="s">
        <v>73</v>
      </c>
      <c r="C65" s="567"/>
      <c r="D65" s="567"/>
      <c r="E65" s="577"/>
      <c r="F65" s="577"/>
      <c r="G65" s="578"/>
      <c r="H65" s="578"/>
      <c r="I65" s="577"/>
      <c r="J65" s="579"/>
    </row>
    <row r="66" spans="1:10" x14ac:dyDescent="0.25">
      <c r="A66" s="457"/>
      <c r="B66" s="523" t="s">
        <v>57</v>
      </c>
      <c r="C66" s="580" t="s">
        <v>427</v>
      </c>
      <c r="D66" s="580"/>
      <c r="E66" s="581">
        <f>-'Balance Sheet'!E10/10/SUM('Historical P&amp;L'!D6:D6)*360</f>
        <v>0</v>
      </c>
      <c r="F66" s="523">
        <v>20</v>
      </c>
      <c r="G66" s="523">
        <v>20</v>
      </c>
      <c r="H66" s="523">
        <f>G66</f>
        <v>20</v>
      </c>
      <c r="I66" s="523">
        <f>H66</f>
        <v>20</v>
      </c>
      <c r="J66" s="529">
        <f>I66</f>
        <v>20</v>
      </c>
    </row>
    <row r="67" spans="1:10" x14ac:dyDescent="0.25">
      <c r="A67" s="460"/>
      <c r="B67" s="523" t="s">
        <v>432</v>
      </c>
      <c r="C67" s="580" t="s">
        <v>427</v>
      </c>
      <c r="D67" s="580"/>
      <c r="E67" s="581">
        <f>'Balance Sheet'!E11/10/'Historical P&amp;L'!D5*360</f>
        <v>0</v>
      </c>
      <c r="F67" s="523">
        <v>20</v>
      </c>
      <c r="G67" s="523">
        <v>20</v>
      </c>
      <c r="H67" s="523">
        <v>15</v>
      </c>
      <c r="I67" s="523">
        <f>H67</f>
        <v>15</v>
      </c>
      <c r="J67" s="529">
        <v>15</v>
      </c>
    </row>
    <row r="68" spans="1:10" x14ac:dyDescent="0.25">
      <c r="A68" s="460"/>
      <c r="B68" s="523" t="s">
        <v>433</v>
      </c>
      <c r="C68" s="580" t="s">
        <v>427</v>
      </c>
      <c r="D68" s="580"/>
      <c r="E68" s="581">
        <f>'Balance Sheet'!E14/10/'Historical P&amp;L'!D6*360</f>
        <v>0</v>
      </c>
      <c r="F68" s="523">
        <v>15</v>
      </c>
      <c r="G68" s="523">
        <v>15</v>
      </c>
      <c r="H68" s="523">
        <v>30</v>
      </c>
      <c r="I68" s="523">
        <v>45</v>
      </c>
      <c r="J68" s="529">
        <v>60</v>
      </c>
    </row>
    <row r="69" spans="1:10" ht="13" thickBot="1" x14ac:dyDescent="0.3">
      <c r="A69" s="582"/>
      <c r="B69" s="583" t="s">
        <v>58</v>
      </c>
      <c r="C69" s="580" t="s">
        <v>427</v>
      </c>
      <c r="D69" s="709"/>
      <c r="E69" s="584"/>
      <c r="F69" s="583">
        <v>30</v>
      </c>
      <c r="G69" s="583">
        <v>30</v>
      </c>
      <c r="H69" s="583">
        <f>G69</f>
        <v>30</v>
      </c>
      <c r="I69" s="583">
        <f>H69</f>
        <v>30</v>
      </c>
      <c r="J69" s="585">
        <f>I69</f>
        <v>30</v>
      </c>
    </row>
    <row r="70" spans="1:10" ht="13" thickBot="1" x14ac:dyDescent="0.3">
      <c r="A70" s="586"/>
      <c r="B70" s="587"/>
      <c r="C70" s="588"/>
      <c r="D70" s="588"/>
      <c r="E70" s="587"/>
      <c r="F70" s="587"/>
      <c r="G70" s="587"/>
      <c r="H70" s="587"/>
      <c r="I70" s="587"/>
      <c r="J70" s="589"/>
    </row>
    <row r="71" spans="1:10" ht="26.5" thickBot="1" x14ac:dyDescent="0.3">
      <c r="A71" s="590">
        <v>2</v>
      </c>
      <c r="B71" s="591" t="s">
        <v>281</v>
      </c>
      <c r="C71" s="592" t="s">
        <v>282</v>
      </c>
      <c r="D71" s="592"/>
      <c r="E71" s="593">
        <v>0.15</v>
      </c>
      <c r="F71" s="594" t="s">
        <v>315</v>
      </c>
      <c r="G71" s="594"/>
      <c r="H71" s="594"/>
      <c r="I71" s="594"/>
      <c r="J71" s="595"/>
    </row>
    <row r="72" spans="1:10" ht="13" thickBot="1" x14ac:dyDescent="0.3">
      <c r="A72" s="596"/>
      <c r="B72" s="587"/>
      <c r="C72" s="588"/>
      <c r="D72" s="588"/>
      <c r="E72" s="597"/>
      <c r="F72" s="587"/>
      <c r="G72" s="587"/>
      <c r="H72" s="587"/>
      <c r="I72" s="587"/>
      <c r="J72" s="589"/>
    </row>
    <row r="73" spans="1:10" ht="13" x14ac:dyDescent="0.3">
      <c r="A73" s="492">
        <v>3</v>
      </c>
      <c r="B73" s="493" t="s">
        <v>93</v>
      </c>
      <c r="C73" s="567"/>
      <c r="D73" s="708"/>
      <c r="E73" s="568" t="s">
        <v>303</v>
      </c>
      <c r="F73" s="569" t="s">
        <v>317</v>
      </c>
      <c r="G73" s="569" t="s">
        <v>318</v>
      </c>
      <c r="H73" s="568" t="s">
        <v>319</v>
      </c>
      <c r="I73" s="568" t="s">
        <v>320</v>
      </c>
      <c r="J73" s="570" t="s">
        <v>321</v>
      </c>
    </row>
    <row r="74" spans="1:10" x14ac:dyDescent="0.25">
      <c r="A74" s="441"/>
      <c r="B74" s="523" t="s">
        <v>29</v>
      </c>
      <c r="C74" s="524"/>
      <c r="D74" s="524"/>
      <c r="E74" s="534"/>
      <c r="F74" s="521"/>
      <c r="G74" s="521"/>
      <c r="H74" s="521"/>
      <c r="I74" s="521"/>
      <c r="J74" s="522"/>
    </row>
    <row r="75" spans="1:10" x14ac:dyDescent="0.25">
      <c r="A75" s="441"/>
      <c r="B75" s="523" t="s">
        <v>30</v>
      </c>
      <c r="C75" s="524"/>
      <c r="D75" s="524"/>
      <c r="E75" s="534"/>
      <c r="F75" s="521"/>
      <c r="G75" s="521"/>
      <c r="H75" s="521"/>
      <c r="I75" s="521"/>
      <c r="J75" s="522"/>
    </row>
    <row r="76" spans="1:10" x14ac:dyDescent="0.25">
      <c r="A76" s="441"/>
      <c r="B76" s="523" t="s">
        <v>31</v>
      </c>
      <c r="C76" s="524"/>
      <c r="D76" s="524"/>
      <c r="E76" s="534"/>
      <c r="F76" s="521"/>
      <c r="G76" s="521"/>
      <c r="H76" s="521"/>
      <c r="I76" s="521"/>
      <c r="J76" s="522"/>
    </row>
    <row r="77" spans="1:10" x14ac:dyDescent="0.25">
      <c r="A77" s="441"/>
      <c r="B77" s="523" t="s">
        <v>32</v>
      </c>
      <c r="C77" s="524"/>
      <c r="D77" s="524"/>
      <c r="E77" s="534"/>
      <c r="F77" s="521"/>
      <c r="G77" s="521"/>
      <c r="H77" s="521"/>
      <c r="I77" s="521"/>
      <c r="J77" s="522"/>
    </row>
    <row r="78" spans="1:10" x14ac:dyDescent="0.25">
      <c r="A78" s="441"/>
      <c r="B78" s="523" t="s">
        <v>33</v>
      </c>
      <c r="C78" s="524"/>
      <c r="D78" s="524"/>
      <c r="E78" s="534"/>
      <c r="F78" s="521"/>
      <c r="G78" s="521"/>
      <c r="H78" s="521"/>
      <c r="I78" s="521"/>
      <c r="J78" s="522"/>
    </row>
    <row r="79" spans="1:10" x14ac:dyDescent="0.25">
      <c r="A79" s="441"/>
      <c r="B79" s="523" t="s">
        <v>68</v>
      </c>
      <c r="C79" s="524"/>
      <c r="D79" s="524"/>
      <c r="E79" s="534"/>
      <c r="F79" s="521"/>
      <c r="G79" s="521"/>
      <c r="H79" s="521"/>
      <c r="I79" s="521"/>
      <c r="J79" s="522"/>
    </row>
    <row r="80" spans="1:10" x14ac:dyDescent="0.25">
      <c r="A80" s="441"/>
      <c r="B80" s="523" t="s">
        <v>94</v>
      </c>
      <c r="C80" s="524"/>
      <c r="D80" s="524"/>
      <c r="E80" s="534"/>
      <c r="F80" s="521"/>
      <c r="G80" s="521"/>
      <c r="H80" s="521"/>
      <c r="I80" s="521"/>
      <c r="J80" s="522"/>
    </row>
    <row r="81" spans="1:10" ht="13.5" thickBot="1" x14ac:dyDescent="0.3">
      <c r="A81" s="598"/>
      <c r="B81" s="599" t="s">
        <v>16</v>
      </c>
      <c r="C81" s="600"/>
      <c r="D81" s="600"/>
      <c r="E81" s="601"/>
      <c r="F81" s="602">
        <f>SUM(F74:F80)</f>
        <v>0</v>
      </c>
      <c r="G81" s="602">
        <f t="shared" ref="G81:J81" si="9">SUM(G74:G80)</f>
        <v>0</v>
      </c>
      <c r="H81" s="602">
        <f t="shared" si="9"/>
        <v>0</v>
      </c>
      <c r="I81" s="602">
        <f t="shared" si="9"/>
        <v>0</v>
      </c>
      <c r="J81" s="603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7126-CFA5-467D-816C-644D929FB59A}">
  <sheetPr>
    <tabColor rgb="FFFFFF00"/>
  </sheetPr>
  <dimension ref="A1:DP64"/>
  <sheetViews>
    <sheetView workbookViewId="0">
      <selection activeCell="D1" sqref="D1"/>
    </sheetView>
  </sheetViews>
  <sheetFormatPr defaultRowHeight="12.5" x14ac:dyDescent="0.25"/>
  <cols>
    <col min="1" max="1" width="8.7265625" style="606"/>
    <col min="2" max="2" width="34.90625" style="471" bestFit="1" customWidth="1"/>
    <col min="3" max="3" width="13.54296875" style="471" bestFit="1" customWidth="1"/>
    <col min="4" max="7" width="14.7265625" style="471" bestFit="1" customWidth="1"/>
    <col min="8" max="8" width="12.08984375" style="471" customWidth="1"/>
    <col min="9" max="9" width="11.08984375" style="471" customWidth="1"/>
    <col min="10" max="10" width="26.08984375" style="728" customWidth="1"/>
    <col min="11" max="16384" width="8.7265625" style="471"/>
  </cols>
  <sheetData>
    <row r="1" spans="1:120" ht="13.5" thickBot="1" x14ac:dyDescent="0.35">
      <c r="B1" s="470" t="s">
        <v>309</v>
      </c>
    </row>
    <row r="2" spans="1:120" ht="13.5" thickBot="1" x14ac:dyDescent="0.35">
      <c r="B2" s="607" t="s">
        <v>306</v>
      </c>
    </row>
    <row r="3" spans="1:120" ht="13" x14ac:dyDescent="0.3">
      <c r="A3" s="608"/>
      <c r="B3" s="609"/>
      <c r="C3" s="609" t="s">
        <v>276</v>
      </c>
      <c r="D3" s="610" t="s">
        <v>277</v>
      </c>
      <c r="E3" s="419" t="s">
        <v>310</v>
      </c>
      <c r="F3" s="419" t="s">
        <v>311</v>
      </c>
      <c r="G3" s="611" t="s">
        <v>312</v>
      </c>
      <c r="H3" s="611" t="s">
        <v>313</v>
      </c>
      <c r="I3" s="612" t="s">
        <v>314</v>
      </c>
    </row>
    <row r="4" spans="1:120" x14ac:dyDescent="0.25">
      <c r="A4" s="613" t="s">
        <v>307</v>
      </c>
      <c r="B4" s="523" t="s">
        <v>295</v>
      </c>
      <c r="C4" s="539">
        <v>10</v>
      </c>
      <c r="D4" s="539">
        <v>30</v>
      </c>
      <c r="E4" s="614">
        <f>D4*(1+E5)</f>
        <v>90</v>
      </c>
      <c r="F4" s="614">
        <f t="shared" ref="F4:I4" si="0">E4*(1+F5)</f>
        <v>270</v>
      </c>
      <c r="G4" s="614">
        <f t="shared" si="0"/>
        <v>405</v>
      </c>
      <c r="H4" s="614">
        <f t="shared" si="0"/>
        <v>607.5</v>
      </c>
      <c r="I4" s="614">
        <f t="shared" si="0"/>
        <v>759.375</v>
      </c>
    </row>
    <row r="5" spans="1:120" x14ac:dyDescent="0.25">
      <c r="A5" s="613"/>
      <c r="B5" s="523"/>
      <c r="C5" s="539"/>
      <c r="D5" s="705">
        <f>D4/C4-1</f>
        <v>2</v>
      </c>
      <c r="E5" s="725">
        <f>D5</f>
        <v>2</v>
      </c>
      <c r="F5" s="725">
        <f t="shared" ref="F5:H5" si="1">E5</f>
        <v>2</v>
      </c>
      <c r="G5" s="725">
        <v>0.5</v>
      </c>
      <c r="H5" s="725">
        <f t="shared" si="1"/>
        <v>0.5</v>
      </c>
      <c r="I5" s="725">
        <v>0.25</v>
      </c>
    </row>
    <row r="6" spans="1:120" x14ac:dyDescent="0.25">
      <c r="A6" s="613"/>
      <c r="B6" s="523" t="s">
        <v>296</v>
      </c>
      <c r="C6" s="539">
        <v>20</v>
      </c>
      <c r="D6" s="539">
        <v>20</v>
      </c>
      <c r="E6" s="614">
        <f>D6*(1+E7)</f>
        <v>24</v>
      </c>
      <c r="F6" s="614">
        <f t="shared" ref="F6" si="2">E6*(1+F7)</f>
        <v>26.400000000000002</v>
      </c>
      <c r="G6" s="614">
        <f t="shared" ref="G6" si="3">F6*(1+G7)</f>
        <v>29.040000000000006</v>
      </c>
      <c r="H6" s="614">
        <f t="shared" ref="H6" si="4">G6*(1+H7)</f>
        <v>31.94400000000001</v>
      </c>
      <c r="I6" s="614">
        <f t="shared" ref="I6" si="5">H6*(1+I7)</f>
        <v>35.138400000000011</v>
      </c>
    </row>
    <row r="7" spans="1:120" ht="25.5" x14ac:dyDescent="0.3">
      <c r="A7" s="613"/>
      <c r="B7" s="523"/>
      <c r="C7" s="539"/>
      <c r="D7" s="705">
        <f>D6/C6-1</f>
        <v>0</v>
      </c>
      <c r="E7" s="725">
        <v>0.2</v>
      </c>
      <c r="F7" s="726">
        <f>10%</f>
        <v>0.1</v>
      </c>
      <c r="G7" s="726">
        <f>10%</f>
        <v>0.1</v>
      </c>
      <c r="H7" s="726">
        <f>10%</f>
        <v>0.1</v>
      </c>
      <c r="I7" s="726">
        <f>10%</f>
        <v>0.1</v>
      </c>
      <c r="J7" s="728" t="s">
        <v>437</v>
      </c>
    </row>
    <row r="8" spans="1:120" x14ac:dyDescent="0.25">
      <c r="A8" s="613"/>
      <c r="B8" s="523" t="s">
        <v>297</v>
      </c>
      <c r="C8" s="539">
        <v>5</v>
      </c>
      <c r="D8" s="539">
        <v>50</v>
      </c>
      <c r="E8" s="614">
        <f>D8*(1+E9)</f>
        <v>70</v>
      </c>
      <c r="F8" s="614">
        <f t="shared" ref="F8" si="6">E8*(1+F9)</f>
        <v>98</v>
      </c>
      <c r="G8" s="614">
        <f t="shared" ref="G8" si="7">F8*(1+G9)</f>
        <v>137.19999999999999</v>
      </c>
      <c r="H8" s="614">
        <f t="shared" ref="H8" si="8">G8*(1+H9)</f>
        <v>164.64</v>
      </c>
      <c r="I8" s="614">
        <f t="shared" ref="I8" si="9">H8*(1+I9)</f>
        <v>197.56799999999998</v>
      </c>
    </row>
    <row r="9" spans="1:120" ht="25.5" x14ac:dyDescent="0.3">
      <c r="A9" s="613"/>
      <c r="B9" s="523"/>
      <c r="C9" s="539"/>
      <c r="D9" s="705">
        <f>D8/C8-1</f>
        <v>9</v>
      </c>
      <c r="E9" s="725">
        <v>0.4</v>
      </c>
      <c r="F9" s="725">
        <v>0.4</v>
      </c>
      <c r="G9" s="725">
        <v>0.4</v>
      </c>
      <c r="H9" s="726">
        <v>0.2</v>
      </c>
      <c r="I9" s="726">
        <v>0.2</v>
      </c>
      <c r="J9" s="728" t="s">
        <v>437</v>
      </c>
    </row>
    <row r="10" spans="1:120" x14ac:dyDescent="0.25">
      <c r="A10" s="613"/>
      <c r="B10" s="523" t="s">
        <v>298</v>
      </c>
      <c r="C10" s="539">
        <v>4</v>
      </c>
      <c r="D10" s="539">
        <v>10</v>
      </c>
      <c r="E10" s="614">
        <f>D10*(1+E11)</f>
        <v>15</v>
      </c>
      <c r="F10" s="614">
        <f t="shared" ref="F10" si="10">E10*(1+F11)</f>
        <v>22.5</v>
      </c>
      <c r="G10" s="614">
        <f t="shared" ref="G10" si="11">F10*(1+G11)</f>
        <v>28.125</v>
      </c>
      <c r="H10" s="614">
        <f t="shared" ref="H10" si="12">G10*(1+H11)</f>
        <v>30.937500000000004</v>
      </c>
      <c r="I10" s="614">
        <f t="shared" ref="I10" si="13">H10*(1+I11)</f>
        <v>34.031250000000007</v>
      </c>
    </row>
    <row r="11" spans="1:120" ht="25.5" x14ac:dyDescent="0.3">
      <c r="A11" s="613"/>
      <c r="B11" s="523"/>
      <c r="C11" s="539"/>
      <c r="D11" s="705">
        <f>D10/C10-1</f>
        <v>1.5</v>
      </c>
      <c r="E11" s="725">
        <v>0.5</v>
      </c>
      <c r="F11" s="726">
        <v>0.5</v>
      </c>
      <c r="G11" s="726">
        <v>0.25</v>
      </c>
      <c r="H11" s="726">
        <v>0.1</v>
      </c>
      <c r="I11" s="727">
        <v>0.1</v>
      </c>
      <c r="J11" s="728" t="s">
        <v>437</v>
      </c>
    </row>
    <row r="12" spans="1:120" ht="13.5" thickBot="1" x14ac:dyDescent="0.35">
      <c r="A12" s="615"/>
      <c r="B12" s="616" t="s">
        <v>308</v>
      </c>
      <c r="C12" s="617">
        <f t="shared" ref="C12:D12" si="14">SUM(C6:C11)</f>
        <v>29</v>
      </c>
      <c r="D12" s="617">
        <f t="shared" si="14"/>
        <v>90.5</v>
      </c>
      <c r="E12" s="617">
        <f>SUM(E6:E11)</f>
        <v>110.10000000000001</v>
      </c>
      <c r="F12" s="617">
        <f t="shared" ref="F12:I12" si="15">SUM(F6:F11)</f>
        <v>147.9</v>
      </c>
      <c r="G12" s="617">
        <f t="shared" si="15"/>
        <v>195.11500000000001</v>
      </c>
      <c r="H12" s="617">
        <f t="shared" si="15"/>
        <v>227.92149999999998</v>
      </c>
      <c r="I12" s="618">
        <f t="shared" si="15"/>
        <v>267.13765000000001</v>
      </c>
    </row>
    <row r="13" spans="1:120" x14ac:dyDescent="0.25">
      <c r="E13" s="706">
        <f>E12/D12</f>
        <v>1.2165745856353591</v>
      </c>
      <c r="F13" s="706">
        <f t="shared" ref="F13:I13" si="16">F12/E12</f>
        <v>1.3433242506811989</v>
      </c>
      <c r="G13" s="706">
        <f t="shared" si="16"/>
        <v>1.319235970250169</v>
      </c>
      <c r="H13" s="706">
        <f t="shared" si="16"/>
        <v>1.1681393024626501</v>
      </c>
      <c r="I13" s="706">
        <f t="shared" si="16"/>
        <v>1.1720598978156955</v>
      </c>
    </row>
    <row r="14" spans="1:120" ht="13.5" thickBot="1" x14ac:dyDescent="0.35">
      <c r="B14" s="619"/>
    </row>
    <row r="15" spans="1:120" x14ac:dyDescent="0.25">
      <c r="A15" s="484"/>
      <c r="B15" s="620" t="s">
        <v>300</v>
      </c>
      <c r="C15" s="621"/>
      <c r="D15" s="622"/>
      <c r="E15" s="623"/>
      <c r="F15" s="623"/>
      <c r="G15" s="623"/>
      <c r="H15" s="623"/>
      <c r="I15" s="624"/>
      <c r="J15" s="486"/>
      <c r="K15" s="476"/>
      <c r="L15" s="487"/>
      <c r="M15" s="487"/>
      <c r="N15" s="487"/>
      <c r="O15" s="487"/>
      <c r="P15" s="487"/>
      <c r="Q15" s="487"/>
      <c r="R15" s="487"/>
      <c r="S15" s="487"/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7"/>
      <c r="AF15" s="487"/>
      <c r="AG15" s="487"/>
      <c r="AH15" s="487"/>
      <c r="AI15" s="487"/>
      <c r="AJ15" s="487"/>
      <c r="AK15" s="487"/>
      <c r="AL15" s="487"/>
      <c r="AM15" s="487"/>
      <c r="AN15" s="487"/>
      <c r="AO15" s="487"/>
      <c r="AP15" s="487"/>
      <c r="AQ15" s="487"/>
      <c r="AR15" s="487"/>
      <c r="AS15" s="487"/>
      <c r="AT15" s="487"/>
      <c r="AU15" s="487"/>
      <c r="AV15" s="487"/>
      <c r="AW15" s="487"/>
      <c r="AX15" s="487"/>
      <c r="AY15" s="487"/>
      <c r="AZ15" s="487"/>
      <c r="BA15" s="487"/>
      <c r="BB15" s="487"/>
      <c r="BC15" s="487"/>
      <c r="BD15" s="487"/>
      <c r="BE15" s="487"/>
      <c r="BF15" s="487"/>
      <c r="BG15" s="487"/>
      <c r="BH15" s="487"/>
      <c r="BI15" s="487"/>
      <c r="BJ15" s="487"/>
      <c r="BK15" s="487"/>
      <c r="BL15" s="487"/>
      <c r="BM15" s="487"/>
      <c r="BN15" s="487"/>
      <c r="BO15" s="487"/>
      <c r="BP15" s="487"/>
      <c r="BQ15" s="487"/>
      <c r="BR15" s="487"/>
      <c r="BS15" s="487"/>
      <c r="BT15" s="487"/>
      <c r="BU15" s="487"/>
      <c r="BV15" s="487"/>
      <c r="BW15" s="487"/>
      <c r="BX15" s="487"/>
      <c r="BY15" s="487"/>
      <c r="BZ15" s="487"/>
      <c r="CA15" s="487"/>
      <c r="CB15" s="487"/>
      <c r="CC15" s="487"/>
      <c r="CD15" s="487"/>
      <c r="CE15" s="487"/>
      <c r="CF15" s="487"/>
      <c r="CG15" s="487"/>
      <c r="CH15" s="487"/>
      <c r="CI15" s="487"/>
      <c r="CJ15" s="487"/>
      <c r="CK15" s="487"/>
      <c r="CL15" s="487"/>
      <c r="CM15" s="487"/>
      <c r="CN15" s="487"/>
      <c r="CO15" s="487"/>
      <c r="CP15" s="487"/>
      <c r="CQ15" s="487"/>
      <c r="CR15" s="487"/>
      <c r="CS15" s="487"/>
      <c r="CT15" s="487"/>
      <c r="CU15" s="487"/>
      <c r="CV15" s="487"/>
      <c r="CW15" s="487"/>
      <c r="CX15" s="487"/>
      <c r="CY15" s="487"/>
      <c r="CZ15" s="487"/>
      <c r="DA15" s="487"/>
      <c r="DB15" s="487"/>
      <c r="DC15" s="487"/>
      <c r="DD15" s="487"/>
      <c r="DE15" s="487"/>
      <c r="DF15" s="487"/>
      <c r="DG15" s="487"/>
      <c r="DH15" s="487"/>
      <c r="DI15" s="487"/>
      <c r="DJ15" s="487"/>
      <c r="DK15" s="487"/>
      <c r="DL15" s="487"/>
      <c r="DM15" s="487"/>
      <c r="DN15" s="487"/>
      <c r="DO15" s="487"/>
      <c r="DP15" s="487"/>
    </row>
    <row r="16" spans="1:120" x14ac:dyDescent="0.25">
      <c r="A16" s="484"/>
      <c r="B16" s="456" t="s">
        <v>91</v>
      </c>
      <c r="C16" s="625" t="s">
        <v>19</v>
      </c>
      <c r="D16" s="626"/>
      <c r="E16" s="627"/>
      <c r="F16" s="521"/>
      <c r="G16" s="521"/>
      <c r="H16" s="521"/>
      <c r="I16" s="522"/>
      <c r="J16" s="486"/>
      <c r="K16" s="476"/>
      <c r="L16" s="487"/>
      <c r="M16" s="487"/>
      <c r="N16" s="487"/>
      <c r="O16" s="487"/>
      <c r="P16" s="487"/>
      <c r="Q16" s="487"/>
      <c r="R16" s="487"/>
      <c r="S16" s="487"/>
      <c r="T16" s="487"/>
      <c r="U16" s="487"/>
      <c r="V16" s="487"/>
      <c r="W16" s="487"/>
      <c r="X16" s="487"/>
      <c r="Y16" s="487"/>
      <c r="Z16" s="487"/>
      <c r="AA16" s="487"/>
      <c r="AB16" s="487"/>
      <c r="AC16" s="487"/>
      <c r="AD16" s="487"/>
      <c r="AE16" s="487"/>
      <c r="AF16" s="487"/>
      <c r="AG16" s="487"/>
      <c r="AH16" s="487"/>
      <c r="AI16" s="487"/>
      <c r="AJ16" s="487"/>
      <c r="AK16" s="487"/>
      <c r="AL16" s="487"/>
      <c r="AM16" s="487"/>
      <c r="AN16" s="487"/>
      <c r="AO16" s="487"/>
      <c r="AP16" s="487"/>
      <c r="AQ16" s="487"/>
      <c r="AR16" s="487"/>
      <c r="AS16" s="487"/>
      <c r="AT16" s="487"/>
      <c r="AU16" s="487"/>
      <c r="AV16" s="487"/>
      <c r="AW16" s="487"/>
      <c r="AX16" s="487"/>
      <c r="AY16" s="487"/>
      <c r="AZ16" s="487"/>
      <c r="BA16" s="487"/>
      <c r="BB16" s="487"/>
      <c r="BC16" s="487"/>
      <c r="BD16" s="487"/>
      <c r="BE16" s="487"/>
      <c r="BF16" s="487"/>
      <c r="BG16" s="487"/>
      <c r="BH16" s="487"/>
      <c r="BI16" s="487"/>
      <c r="BJ16" s="487"/>
      <c r="BK16" s="487"/>
      <c r="BL16" s="487"/>
      <c r="BM16" s="487"/>
      <c r="BN16" s="487"/>
      <c r="BO16" s="487"/>
      <c r="BP16" s="487"/>
      <c r="BQ16" s="487"/>
      <c r="BR16" s="487"/>
      <c r="BS16" s="487"/>
      <c r="BT16" s="487"/>
      <c r="BU16" s="487"/>
      <c r="BV16" s="487"/>
      <c r="BW16" s="487"/>
      <c r="BX16" s="487"/>
      <c r="BY16" s="487"/>
      <c r="BZ16" s="487"/>
      <c r="CA16" s="487"/>
      <c r="CB16" s="487"/>
      <c r="CC16" s="487"/>
      <c r="CD16" s="487"/>
      <c r="CE16" s="487"/>
      <c r="CF16" s="487"/>
      <c r="CG16" s="487"/>
      <c r="CH16" s="487"/>
      <c r="CI16" s="487"/>
      <c r="CJ16" s="487"/>
      <c r="CK16" s="487"/>
      <c r="CL16" s="487"/>
      <c r="CM16" s="487"/>
      <c r="CN16" s="487"/>
      <c r="CO16" s="487"/>
      <c r="CP16" s="487"/>
      <c r="CQ16" s="487"/>
      <c r="CR16" s="487"/>
      <c r="CS16" s="487"/>
      <c r="CT16" s="487"/>
      <c r="CU16" s="487"/>
      <c r="CV16" s="487"/>
      <c r="CW16" s="487"/>
      <c r="CX16" s="487"/>
      <c r="CY16" s="487"/>
      <c r="CZ16" s="487"/>
      <c r="DA16" s="487"/>
      <c r="DB16" s="487"/>
      <c r="DC16" s="487"/>
      <c r="DD16" s="487"/>
      <c r="DE16" s="487"/>
      <c r="DF16" s="487"/>
      <c r="DG16" s="487"/>
      <c r="DH16" s="487"/>
      <c r="DI16" s="487"/>
      <c r="DJ16" s="487"/>
      <c r="DK16" s="487"/>
      <c r="DL16" s="487"/>
      <c r="DM16" s="487"/>
      <c r="DN16" s="487"/>
      <c r="DO16" s="487"/>
      <c r="DP16" s="487"/>
    </row>
    <row r="17" spans="1:120" ht="13" x14ac:dyDescent="0.25">
      <c r="A17" s="484"/>
      <c r="B17" s="628" t="s">
        <v>16</v>
      </c>
      <c r="C17" s="629" t="s">
        <v>19</v>
      </c>
      <c r="D17" s="630"/>
      <c r="E17" s="630"/>
      <c r="F17" s="630"/>
      <c r="G17" s="630"/>
      <c r="H17" s="630"/>
      <c r="I17" s="631"/>
      <c r="J17" s="486"/>
      <c r="K17" s="476"/>
      <c r="L17" s="487"/>
      <c r="M17" s="487"/>
      <c r="N17" s="487"/>
      <c r="O17" s="487"/>
      <c r="P17" s="487"/>
      <c r="Q17" s="487"/>
      <c r="R17" s="487"/>
      <c r="S17" s="487"/>
      <c r="T17" s="487"/>
      <c r="U17" s="487"/>
      <c r="V17" s="487"/>
      <c r="W17" s="487"/>
      <c r="X17" s="487"/>
      <c r="Y17" s="487"/>
      <c r="Z17" s="487"/>
      <c r="AA17" s="487"/>
      <c r="AB17" s="487"/>
      <c r="AC17" s="487"/>
      <c r="AD17" s="487"/>
      <c r="AE17" s="487"/>
      <c r="AF17" s="487"/>
      <c r="AG17" s="487"/>
      <c r="AH17" s="487"/>
      <c r="AI17" s="487"/>
      <c r="AJ17" s="487"/>
      <c r="AK17" s="487"/>
      <c r="AL17" s="487"/>
      <c r="AM17" s="487"/>
      <c r="AN17" s="487"/>
      <c r="AO17" s="487"/>
      <c r="AP17" s="487"/>
      <c r="AQ17" s="487"/>
      <c r="AR17" s="487"/>
      <c r="AS17" s="487"/>
      <c r="AT17" s="487"/>
      <c r="AU17" s="487"/>
      <c r="AV17" s="487"/>
      <c r="AW17" s="487"/>
      <c r="AX17" s="487"/>
      <c r="AY17" s="487"/>
      <c r="AZ17" s="487"/>
      <c r="BA17" s="487"/>
      <c r="BB17" s="487"/>
      <c r="BC17" s="487"/>
      <c r="BD17" s="487"/>
      <c r="BE17" s="487"/>
      <c r="BF17" s="487"/>
      <c r="BG17" s="487"/>
      <c r="BH17" s="487"/>
      <c r="BI17" s="487"/>
      <c r="BJ17" s="487"/>
      <c r="BK17" s="487"/>
      <c r="BL17" s="487"/>
      <c r="BM17" s="487"/>
      <c r="BN17" s="487"/>
      <c r="BO17" s="487"/>
      <c r="BP17" s="487"/>
      <c r="BQ17" s="487"/>
      <c r="BR17" s="487"/>
      <c r="BS17" s="487"/>
      <c r="BT17" s="487"/>
      <c r="BU17" s="487"/>
      <c r="BV17" s="487"/>
      <c r="BW17" s="487"/>
      <c r="BX17" s="487"/>
      <c r="BY17" s="487"/>
      <c r="BZ17" s="487"/>
      <c r="CA17" s="487"/>
      <c r="CB17" s="487"/>
      <c r="CC17" s="487"/>
      <c r="CD17" s="487"/>
      <c r="CE17" s="487"/>
      <c r="CF17" s="487"/>
      <c r="CG17" s="487"/>
      <c r="CH17" s="487"/>
      <c r="CI17" s="487"/>
      <c r="CJ17" s="487"/>
      <c r="CK17" s="487"/>
      <c r="CL17" s="487"/>
      <c r="CM17" s="487"/>
      <c r="CN17" s="487"/>
      <c r="CO17" s="487"/>
      <c r="CP17" s="487"/>
      <c r="CQ17" s="487"/>
      <c r="CR17" s="487"/>
      <c r="CS17" s="487"/>
      <c r="CT17" s="487"/>
      <c r="CU17" s="487"/>
      <c r="CV17" s="487"/>
      <c r="CW17" s="487"/>
      <c r="CX17" s="487"/>
      <c r="CY17" s="487"/>
      <c r="CZ17" s="487"/>
      <c r="DA17" s="487"/>
      <c r="DB17" s="487"/>
      <c r="DC17" s="487"/>
      <c r="DD17" s="487"/>
      <c r="DE17" s="487"/>
      <c r="DF17" s="487"/>
      <c r="DG17" s="487"/>
      <c r="DH17" s="487"/>
      <c r="DI17" s="487"/>
      <c r="DJ17" s="487"/>
      <c r="DK17" s="487"/>
      <c r="DL17" s="487"/>
      <c r="DM17" s="487"/>
      <c r="DN17" s="487"/>
      <c r="DO17" s="487"/>
      <c r="DP17" s="487"/>
    </row>
    <row r="18" spans="1:120" ht="14.25" customHeight="1" x14ac:dyDescent="0.25">
      <c r="A18" s="484"/>
      <c r="B18" s="456"/>
      <c r="C18" s="625"/>
      <c r="D18" s="626"/>
      <c r="E18" s="521"/>
      <c r="F18" s="521"/>
      <c r="G18" s="521"/>
      <c r="H18" s="521"/>
      <c r="I18" s="522"/>
      <c r="J18" s="486"/>
      <c r="K18" s="476"/>
      <c r="L18" s="487"/>
      <c r="M18" s="487"/>
      <c r="N18" s="487"/>
      <c r="O18" s="487"/>
      <c r="P18" s="487"/>
      <c r="Q18" s="487"/>
      <c r="R18" s="487"/>
      <c r="S18" s="487"/>
      <c r="T18" s="487"/>
      <c r="U18" s="487"/>
      <c r="V18" s="487"/>
      <c r="W18" s="487"/>
      <c r="X18" s="487"/>
      <c r="Y18" s="487"/>
      <c r="Z18" s="487"/>
      <c r="AA18" s="487"/>
      <c r="AB18" s="487"/>
      <c r="AC18" s="487"/>
      <c r="AD18" s="487"/>
      <c r="AE18" s="487"/>
      <c r="AF18" s="487"/>
      <c r="AG18" s="487"/>
      <c r="AH18" s="487"/>
      <c r="AI18" s="487"/>
      <c r="AJ18" s="487"/>
      <c r="AK18" s="487"/>
      <c r="AL18" s="487"/>
      <c r="AM18" s="487"/>
      <c r="AN18" s="487"/>
      <c r="AO18" s="487"/>
      <c r="AP18" s="487"/>
      <c r="AQ18" s="487"/>
      <c r="AR18" s="487"/>
      <c r="AS18" s="487"/>
      <c r="AT18" s="487"/>
      <c r="AU18" s="487"/>
      <c r="AV18" s="487"/>
      <c r="AW18" s="487"/>
      <c r="AX18" s="487"/>
      <c r="AY18" s="487"/>
      <c r="AZ18" s="487"/>
      <c r="BA18" s="487"/>
      <c r="BB18" s="487"/>
      <c r="BC18" s="487"/>
      <c r="BD18" s="487"/>
      <c r="BE18" s="487"/>
      <c r="BF18" s="487"/>
      <c r="BG18" s="487"/>
      <c r="BH18" s="487"/>
      <c r="BI18" s="487"/>
      <c r="BJ18" s="487"/>
      <c r="BK18" s="487"/>
      <c r="BL18" s="487"/>
      <c r="BM18" s="487"/>
      <c r="BN18" s="487"/>
      <c r="BO18" s="487"/>
      <c r="BP18" s="487"/>
      <c r="BQ18" s="487"/>
      <c r="BR18" s="487"/>
      <c r="BS18" s="487"/>
      <c r="BT18" s="487"/>
      <c r="BU18" s="487"/>
      <c r="BV18" s="487"/>
      <c r="BW18" s="487"/>
      <c r="BX18" s="487"/>
      <c r="BY18" s="487"/>
      <c r="BZ18" s="487"/>
      <c r="CA18" s="487"/>
      <c r="CB18" s="487"/>
      <c r="CC18" s="487"/>
      <c r="CD18" s="487"/>
      <c r="CE18" s="487"/>
      <c r="CF18" s="487"/>
      <c r="CG18" s="487"/>
      <c r="CH18" s="487"/>
      <c r="CI18" s="487"/>
      <c r="CJ18" s="487"/>
      <c r="CK18" s="487"/>
      <c r="CL18" s="487"/>
      <c r="CM18" s="487"/>
      <c r="CN18" s="487"/>
      <c r="CO18" s="487"/>
      <c r="CP18" s="487"/>
      <c r="CQ18" s="487"/>
      <c r="CR18" s="487"/>
      <c r="CS18" s="487"/>
      <c r="CT18" s="487"/>
      <c r="CU18" s="487"/>
      <c r="CV18" s="487"/>
      <c r="CW18" s="487"/>
      <c r="CX18" s="487"/>
      <c r="CY18" s="487"/>
      <c r="CZ18" s="487"/>
      <c r="DA18" s="487"/>
      <c r="DB18" s="487"/>
      <c r="DC18" s="487"/>
      <c r="DD18" s="487"/>
      <c r="DE18" s="487"/>
      <c r="DF18" s="487"/>
      <c r="DG18" s="487"/>
      <c r="DH18" s="487"/>
      <c r="DI18" s="487"/>
      <c r="DJ18" s="487"/>
      <c r="DK18" s="487"/>
      <c r="DL18" s="487"/>
      <c r="DM18" s="487"/>
      <c r="DN18" s="487"/>
      <c r="DO18" s="487"/>
      <c r="DP18" s="487"/>
    </row>
    <row r="19" spans="1:120" ht="13" x14ac:dyDescent="0.25">
      <c r="A19" s="484"/>
      <c r="B19" s="632" t="s">
        <v>301</v>
      </c>
      <c r="C19" s="633"/>
      <c r="D19" s="634"/>
      <c r="E19" s="521"/>
      <c r="F19" s="521"/>
      <c r="G19" s="521"/>
      <c r="H19" s="521"/>
      <c r="I19" s="522"/>
      <c r="J19" s="486"/>
      <c r="K19" s="476"/>
      <c r="L19" s="487"/>
      <c r="M19" s="487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7"/>
      <c r="Y19" s="487"/>
      <c r="Z19" s="487"/>
      <c r="AA19" s="487"/>
      <c r="AB19" s="487"/>
      <c r="AC19" s="487"/>
      <c r="AD19" s="487"/>
      <c r="AE19" s="487"/>
      <c r="AF19" s="487"/>
      <c r="AG19" s="487"/>
      <c r="AH19" s="487"/>
      <c r="AI19" s="487"/>
      <c r="AJ19" s="487"/>
      <c r="AK19" s="487"/>
      <c r="AL19" s="487"/>
      <c r="AM19" s="487"/>
      <c r="AN19" s="487"/>
      <c r="AO19" s="487"/>
      <c r="AP19" s="487"/>
      <c r="AQ19" s="487"/>
      <c r="AR19" s="487"/>
      <c r="AS19" s="487"/>
      <c r="AT19" s="487"/>
      <c r="AU19" s="487"/>
      <c r="AV19" s="487"/>
      <c r="AW19" s="487"/>
      <c r="AX19" s="48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7"/>
      <c r="BJ19" s="487"/>
      <c r="BK19" s="487"/>
      <c r="BL19" s="487"/>
      <c r="BM19" s="487"/>
      <c r="BN19" s="487"/>
      <c r="BO19" s="487"/>
      <c r="BP19" s="487"/>
      <c r="BQ19" s="487"/>
      <c r="BR19" s="487"/>
      <c r="BS19" s="487"/>
      <c r="BT19" s="487"/>
      <c r="BU19" s="487"/>
      <c r="BV19" s="487"/>
      <c r="BW19" s="487"/>
      <c r="BX19" s="487"/>
      <c r="BY19" s="487"/>
      <c r="BZ19" s="487"/>
      <c r="CA19" s="487"/>
      <c r="CB19" s="487"/>
      <c r="CC19" s="487"/>
      <c r="CD19" s="487"/>
      <c r="CE19" s="487"/>
      <c r="CF19" s="487"/>
      <c r="CG19" s="487"/>
      <c r="CH19" s="487"/>
      <c r="CI19" s="487"/>
      <c r="CJ19" s="487"/>
      <c r="CK19" s="487"/>
      <c r="CL19" s="487"/>
      <c r="CM19" s="487"/>
      <c r="CN19" s="487"/>
      <c r="CO19" s="487"/>
      <c r="CP19" s="487"/>
      <c r="CQ19" s="487"/>
      <c r="CR19" s="487"/>
      <c r="CS19" s="487"/>
      <c r="CT19" s="487"/>
      <c r="CU19" s="487"/>
      <c r="CV19" s="487"/>
      <c r="CW19" s="487"/>
      <c r="CX19" s="487"/>
      <c r="CY19" s="487"/>
      <c r="CZ19" s="487"/>
      <c r="DA19" s="487"/>
      <c r="DB19" s="487"/>
      <c r="DC19" s="487"/>
      <c r="DD19" s="487"/>
      <c r="DE19" s="487"/>
      <c r="DF19" s="487"/>
      <c r="DG19" s="487"/>
      <c r="DH19" s="487"/>
      <c r="DI19" s="487"/>
      <c r="DJ19" s="487"/>
      <c r="DK19" s="487"/>
      <c r="DL19" s="487"/>
      <c r="DM19" s="487"/>
      <c r="DN19" s="487"/>
      <c r="DO19" s="487"/>
      <c r="DP19" s="487"/>
    </row>
    <row r="20" spans="1:120" x14ac:dyDescent="0.25">
      <c r="A20" s="484"/>
      <c r="B20" s="441" t="s">
        <v>39</v>
      </c>
      <c r="C20" s="635" t="s">
        <v>19</v>
      </c>
      <c r="D20" s="521">
        <v>23</v>
      </c>
      <c r="E20" s="521">
        <f>$E$15*'Revenue_Sales Assumptions'!E28</f>
        <v>0</v>
      </c>
      <c r="F20" s="521">
        <f>$F$15*'Revenue_Sales Assumptions'!F28</f>
        <v>0</v>
      </c>
      <c r="G20" s="521">
        <f>$G$15*'Revenue_Sales Assumptions'!G28</f>
        <v>0</v>
      </c>
      <c r="H20" s="521">
        <f>$H$15*'Revenue_Sales Assumptions'!H28</f>
        <v>0</v>
      </c>
      <c r="I20" s="522">
        <f>$I$15*'Revenue_Sales Assumptions'!I28</f>
        <v>0</v>
      </c>
      <c r="J20" s="729"/>
      <c r="K20" s="636"/>
      <c r="L20" s="487"/>
      <c r="M20" s="487"/>
      <c r="N20" s="487"/>
      <c r="O20" s="487"/>
      <c r="P20" s="487"/>
      <c r="Q20" s="487"/>
      <c r="R20" s="487"/>
      <c r="S20" s="487"/>
      <c r="T20" s="487"/>
      <c r="U20" s="487"/>
      <c r="V20" s="487"/>
      <c r="W20" s="487"/>
      <c r="X20" s="487"/>
      <c r="Y20" s="487"/>
      <c r="Z20" s="487"/>
      <c r="AA20" s="487"/>
      <c r="AB20" s="487"/>
      <c r="AC20" s="487"/>
      <c r="AD20" s="487"/>
      <c r="AE20" s="487"/>
      <c r="AF20" s="487"/>
      <c r="AG20" s="487"/>
      <c r="AH20" s="487"/>
      <c r="AI20" s="487"/>
      <c r="AJ20" s="487"/>
      <c r="AK20" s="487"/>
      <c r="AL20" s="487"/>
      <c r="AM20" s="487"/>
      <c r="AN20" s="487"/>
      <c r="AO20" s="487"/>
      <c r="AP20" s="487"/>
      <c r="AQ20" s="487"/>
      <c r="AR20" s="487"/>
      <c r="AS20" s="487"/>
      <c r="AT20" s="487"/>
      <c r="AU20" s="487"/>
      <c r="AV20" s="487"/>
      <c r="AW20" s="487"/>
      <c r="AX20" s="487"/>
      <c r="AY20" s="487"/>
      <c r="AZ20" s="487"/>
      <c r="BA20" s="487"/>
      <c r="BB20" s="487"/>
      <c r="BC20" s="487"/>
      <c r="BD20" s="487"/>
      <c r="BE20" s="487"/>
      <c r="BF20" s="487"/>
      <c r="BG20" s="487"/>
      <c r="BH20" s="487"/>
      <c r="BI20" s="487"/>
      <c r="BJ20" s="487"/>
      <c r="BK20" s="487"/>
      <c r="BL20" s="487"/>
      <c r="BM20" s="487"/>
      <c r="BN20" s="487"/>
      <c r="BO20" s="487"/>
      <c r="BP20" s="487"/>
      <c r="BQ20" s="487"/>
      <c r="BR20" s="487"/>
      <c r="BS20" s="487"/>
      <c r="BT20" s="487"/>
      <c r="BU20" s="487"/>
      <c r="BV20" s="487"/>
      <c r="BW20" s="487"/>
      <c r="BX20" s="487"/>
      <c r="BY20" s="487"/>
      <c r="BZ20" s="487"/>
      <c r="CA20" s="487"/>
      <c r="CB20" s="487"/>
      <c r="CC20" s="487"/>
      <c r="CD20" s="487"/>
      <c r="CE20" s="487"/>
      <c r="CF20" s="487"/>
      <c r="CG20" s="487"/>
      <c r="CH20" s="487"/>
      <c r="CI20" s="487"/>
      <c r="CJ20" s="487"/>
      <c r="CK20" s="487"/>
      <c r="CL20" s="487"/>
      <c r="CM20" s="487"/>
      <c r="CN20" s="487"/>
      <c r="CO20" s="487"/>
      <c r="CP20" s="487"/>
      <c r="CQ20" s="487"/>
      <c r="CR20" s="487"/>
      <c r="CS20" s="487"/>
      <c r="CT20" s="487"/>
      <c r="CU20" s="487"/>
      <c r="CV20" s="487"/>
      <c r="CW20" s="487"/>
      <c r="CX20" s="487"/>
      <c r="CY20" s="487"/>
      <c r="CZ20" s="487"/>
      <c r="DA20" s="487"/>
      <c r="DB20" s="487"/>
      <c r="DC20" s="487"/>
      <c r="DD20" s="487"/>
      <c r="DE20" s="487"/>
      <c r="DF20" s="487"/>
      <c r="DG20" s="487"/>
      <c r="DH20" s="487"/>
      <c r="DI20" s="487"/>
      <c r="DJ20" s="487"/>
      <c r="DK20" s="487"/>
      <c r="DL20" s="487"/>
      <c r="DM20" s="487"/>
      <c r="DN20" s="487"/>
      <c r="DO20" s="487"/>
      <c r="DP20" s="487"/>
    </row>
    <row r="21" spans="1:120" x14ac:dyDescent="0.25">
      <c r="A21" s="484"/>
      <c r="B21" s="441" t="s">
        <v>35</v>
      </c>
      <c r="C21" s="635" t="s">
        <v>19</v>
      </c>
      <c r="D21" s="637">
        <v>24</v>
      </c>
      <c r="E21" s="521">
        <f>$E$15*'Revenue_Sales Assumptions'!E29</f>
        <v>0</v>
      </c>
      <c r="F21" s="521">
        <f>$F$15*'Revenue_Sales Assumptions'!F29</f>
        <v>0</v>
      </c>
      <c r="G21" s="521">
        <f>$G$15*'Revenue_Sales Assumptions'!G29</f>
        <v>0</v>
      </c>
      <c r="H21" s="521">
        <f>$H$15*'Revenue_Sales Assumptions'!H29</f>
        <v>0</v>
      </c>
      <c r="I21" s="522">
        <f>$I$15*'Revenue_Sales Assumptions'!I29</f>
        <v>0</v>
      </c>
      <c r="J21" s="486"/>
      <c r="K21" s="476"/>
      <c r="L21" s="487"/>
      <c r="M21" s="487"/>
      <c r="N21" s="487"/>
      <c r="O21" s="487"/>
      <c r="P21" s="487"/>
      <c r="Q21" s="487"/>
      <c r="R21" s="487"/>
      <c r="S21" s="487"/>
      <c r="T21" s="487"/>
      <c r="U21" s="487"/>
      <c r="V21" s="487"/>
      <c r="W21" s="487"/>
      <c r="X21" s="487"/>
      <c r="Y21" s="487"/>
      <c r="Z21" s="487"/>
      <c r="AA21" s="487"/>
      <c r="AB21" s="487"/>
      <c r="AC21" s="487"/>
      <c r="AD21" s="487"/>
      <c r="AE21" s="487"/>
      <c r="AF21" s="487"/>
      <c r="AG21" s="487"/>
      <c r="AH21" s="487"/>
      <c r="AI21" s="487"/>
      <c r="AJ21" s="487"/>
      <c r="AK21" s="487"/>
      <c r="AL21" s="487"/>
      <c r="AM21" s="487"/>
      <c r="AN21" s="487"/>
      <c r="AO21" s="487"/>
      <c r="AP21" s="487"/>
      <c r="AQ21" s="487"/>
      <c r="AR21" s="487"/>
      <c r="AS21" s="487"/>
      <c r="AT21" s="487"/>
      <c r="AU21" s="487"/>
      <c r="AV21" s="487"/>
      <c r="AW21" s="487"/>
      <c r="AX21" s="48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  <c r="BN21" s="487"/>
      <c r="BO21" s="487"/>
      <c r="BP21" s="487"/>
      <c r="BQ21" s="487"/>
      <c r="BR21" s="487"/>
      <c r="BS21" s="487"/>
      <c r="BT21" s="487"/>
      <c r="BU21" s="487"/>
      <c r="BV21" s="487"/>
      <c r="BW21" s="487"/>
      <c r="BX21" s="487"/>
      <c r="BY21" s="487"/>
      <c r="BZ21" s="487"/>
      <c r="CA21" s="487"/>
      <c r="CB21" s="487"/>
      <c r="CC21" s="487"/>
      <c r="CD21" s="487"/>
      <c r="CE21" s="487"/>
      <c r="CF21" s="487"/>
      <c r="CG21" s="487"/>
      <c r="CH21" s="487"/>
      <c r="CI21" s="487"/>
      <c r="CJ21" s="487"/>
      <c r="CK21" s="487"/>
      <c r="CL21" s="487"/>
      <c r="CM21" s="487"/>
      <c r="CN21" s="487"/>
      <c r="CO21" s="487"/>
      <c r="CP21" s="487"/>
      <c r="CQ21" s="487"/>
      <c r="CR21" s="487"/>
      <c r="CS21" s="487"/>
      <c r="CT21" s="487"/>
      <c r="CU21" s="487"/>
      <c r="CV21" s="487"/>
      <c r="CW21" s="487"/>
      <c r="CX21" s="487"/>
      <c r="CY21" s="487"/>
      <c r="CZ21" s="487"/>
      <c r="DA21" s="487"/>
      <c r="DB21" s="487"/>
      <c r="DC21" s="487"/>
      <c r="DD21" s="487"/>
      <c r="DE21" s="487"/>
      <c r="DF21" s="487"/>
      <c r="DG21" s="487"/>
      <c r="DH21" s="487"/>
      <c r="DI21" s="487"/>
      <c r="DJ21" s="487"/>
      <c r="DK21" s="487"/>
      <c r="DL21" s="487"/>
      <c r="DM21" s="487"/>
      <c r="DN21" s="487"/>
      <c r="DO21" s="487"/>
      <c r="DP21" s="487"/>
    </row>
    <row r="22" spans="1:120" x14ac:dyDescent="0.25">
      <c r="A22" s="484"/>
      <c r="B22" s="441" t="s">
        <v>36</v>
      </c>
      <c r="C22" s="635" t="s">
        <v>19</v>
      </c>
      <c r="D22" s="637">
        <v>0</v>
      </c>
      <c r="E22" s="521">
        <f>$E$15*'Revenue_Sales Assumptions'!E30</f>
        <v>0</v>
      </c>
      <c r="F22" s="521">
        <f>$F$15*'Revenue_Sales Assumptions'!F30</f>
        <v>0</v>
      </c>
      <c r="G22" s="521">
        <f>$G$15*'Revenue_Sales Assumptions'!G30</f>
        <v>0</v>
      </c>
      <c r="H22" s="521">
        <f>$H$15*'Revenue_Sales Assumptions'!H30</f>
        <v>0</v>
      </c>
      <c r="I22" s="522">
        <f>$I$15*'Revenue_Sales Assumptions'!I30</f>
        <v>0</v>
      </c>
      <c r="J22" s="486"/>
      <c r="K22" s="476"/>
      <c r="L22" s="487"/>
      <c r="M22" s="487"/>
      <c r="N22" s="487"/>
      <c r="O22" s="487"/>
      <c r="P22" s="487"/>
      <c r="Q22" s="487"/>
      <c r="R22" s="487"/>
      <c r="S22" s="487"/>
      <c r="T22" s="487"/>
      <c r="U22" s="487"/>
      <c r="V22" s="487"/>
      <c r="W22" s="487"/>
      <c r="X22" s="487"/>
      <c r="Y22" s="487"/>
      <c r="Z22" s="487"/>
      <c r="AA22" s="487"/>
      <c r="AB22" s="487"/>
      <c r="AC22" s="487"/>
      <c r="AD22" s="487"/>
      <c r="AE22" s="487"/>
      <c r="AF22" s="487"/>
      <c r="AG22" s="487"/>
      <c r="AH22" s="487"/>
      <c r="AI22" s="487"/>
      <c r="AJ22" s="487"/>
      <c r="AK22" s="487"/>
      <c r="AL22" s="487"/>
      <c r="AM22" s="487"/>
      <c r="AN22" s="487"/>
      <c r="AO22" s="487"/>
      <c r="AP22" s="487"/>
      <c r="AQ22" s="487"/>
      <c r="AR22" s="487"/>
      <c r="AS22" s="487"/>
      <c r="AT22" s="487"/>
      <c r="AU22" s="487"/>
      <c r="AV22" s="487"/>
      <c r="AW22" s="487"/>
      <c r="AX22" s="48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7"/>
      <c r="BJ22" s="487"/>
      <c r="BK22" s="487"/>
      <c r="BL22" s="487"/>
      <c r="BM22" s="487"/>
      <c r="BN22" s="487"/>
      <c r="BO22" s="487"/>
      <c r="BP22" s="487"/>
      <c r="BQ22" s="487"/>
      <c r="BR22" s="487"/>
      <c r="BS22" s="487"/>
      <c r="BT22" s="487"/>
      <c r="BU22" s="487"/>
      <c r="BV22" s="487"/>
      <c r="BW22" s="487"/>
      <c r="BX22" s="487"/>
      <c r="BY22" s="487"/>
      <c r="BZ22" s="487"/>
      <c r="CA22" s="487"/>
      <c r="CB22" s="487"/>
      <c r="CC22" s="487"/>
      <c r="CD22" s="487"/>
      <c r="CE22" s="487"/>
      <c r="CF22" s="487"/>
      <c r="CG22" s="487"/>
      <c r="CH22" s="487"/>
      <c r="CI22" s="487"/>
      <c r="CJ22" s="487"/>
      <c r="CK22" s="487"/>
      <c r="CL22" s="487"/>
      <c r="CM22" s="487"/>
      <c r="CN22" s="487"/>
      <c r="CO22" s="487"/>
      <c r="CP22" s="487"/>
      <c r="CQ22" s="487"/>
      <c r="CR22" s="487"/>
      <c r="CS22" s="487"/>
      <c r="CT22" s="487"/>
      <c r="CU22" s="487"/>
      <c r="CV22" s="487"/>
      <c r="CW22" s="487"/>
      <c r="CX22" s="487"/>
      <c r="CY22" s="487"/>
      <c r="CZ22" s="487"/>
      <c r="DA22" s="487"/>
      <c r="DB22" s="487"/>
      <c r="DC22" s="487"/>
      <c r="DD22" s="487"/>
      <c r="DE22" s="487"/>
      <c r="DF22" s="487"/>
      <c r="DG22" s="487"/>
      <c r="DH22" s="487"/>
      <c r="DI22" s="487"/>
      <c r="DJ22" s="487"/>
      <c r="DK22" s="487"/>
      <c r="DL22" s="487"/>
      <c r="DM22" s="487"/>
      <c r="DN22" s="487"/>
      <c r="DO22" s="487"/>
      <c r="DP22" s="487"/>
    </row>
    <row r="23" spans="1:120" x14ac:dyDescent="0.25">
      <c r="A23" s="484"/>
      <c r="B23" s="441" t="s">
        <v>37</v>
      </c>
      <c r="C23" s="635" t="s">
        <v>19</v>
      </c>
      <c r="D23" s="637">
        <v>0</v>
      </c>
      <c r="E23" s="521">
        <f>$E$15*'Revenue_Sales Assumptions'!E31</f>
        <v>0</v>
      </c>
      <c r="F23" s="521">
        <f>$F$15*'Revenue_Sales Assumptions'!F31</f>
        <v>0</v>
      </c>
      <c r="G23" s="521">
        <f>$G$15*'Revenue_Sales Assumptions'!G31</f>
        <v>0</v>
      </c>
      <c r="H23" s="521">
        <f>$H$15*'Revenue_Sales Assumptions'!H31</f>
        <v>0</v>
      </c>
      <c r="I23" s="522">
        <f>$I$15*'Revenue_Sales Assumptions'!I31</f>
        <v>0</v>
      </c>
      <c r="J23" s="486"/>
      <c r="K23" s="476"/>
      <c r="L23" s="487"/>
      <c r="M23" s="487"/>
      <c r="N23" s="487"/>
      <c r="O23" s="487"/>
      <c r="P23" s="487"/>
      <c r="Q23" s="487"/>
      <c r="R23" s="487"/>
      <c r="S23" s="487"/>
      <c r="T23" s="487"/>
      <c r="U23" s="487"/>
      <c r="V23" s="487"/>
      <c r="W23" s="487"/>
      <c r="X23" s="487"/>
      <c r="Y23" s="487"/>
      <c r="Z23" s="487"/>
      <c r="AA23" s="487"/>
      <c r="AB23" s="487"/>
      <c r="AC23" s="487"/>
      <c r="AD23" s="487"/>
      <c r="AE23" s="487"/>
      <c r="AF23" s="487"/>
      <c r="AG23" s="487"/>
      <c r="AH23" s="487"/>
      <c r="AI23" s="487"/>
      <c r="AJ23" s="487"/>
      <c r="AK23" s="487"/>
      <c r="AL23" s="487"/>
      <c r="AM23" s="487"/>
      <c r="AN23" s="487"/>
      <c r="AO23" s="487"/>
      <c r="AP23" s="487"/>
      <c r="AQ23" s="487"/>
      <c r="AR23" s="487"/>
      <c r="AS23" s="487"/>
      <c r="AT23" s="487"/>
      <c r="AU23" s="487"/>
      <c r="AV23" s="487"/>
      <c r="AW23" s="487"/>
      <c r="AX23" s="48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7"/>
      <c r="BJ23" s="487"/>
      <c r="BK23" s="487"/>
      <c r="BL23" s="487"/>
      <c r="BM23" s="487"/>
      <c r="BN23" s="487"/>
      <c r="BO23" s="487"/>
      <c r="BP23" s="487"/>
      <c r="BQ23" s="487"/>
      <c r="BR23" s="487"/>
      <c r="BS23" s="487"/>
      <c r="BT23" s="487"/>
      <c r="BU23" s="487"/>
      <c r="BV23" s="487"/>
      <c r="BW23" s="487"/>
      <c r="BX23" s="487"/>
      <c r="BY23" s="487"/>
      <c r="BZ23" s="487"/>
      <c r="CA23" s="487"/>
      <c r="CB23" s="487"/>
      <c r="CC23" s="487"/>
      <c r="CD23" s="487"/>
      <c r="CE23" s="487"/>
      <c r="CF23" s="487"/>
      <c r="CG23" s="487"/>
      <c r="CH23" s="487"/>
      <c r="CI23" s="487"/>
      <c r="CJ23" s="487"/>
      <c r="CK23" s="487"/>
      <c r="CL23" s="487"/>
      <c r="CM23" s="487"/>
      <c r="CN23" s="487"/>
      <c r="CO23" s="487"/>
      <c r="CP23" s="487"/>
      <c r="CQ23" s="487"/>
      <c r="CR23" s="487"/>
      <c r="CS23" s="487"/>
      <c r="CT23" s="487"/>
      <c r="CU23" s="487"/>
      <c r="CV23" s="487"/>
      <c r="CW23" s="487"/>
      <c r="CX23" s="487"/>
      <c r="CY23" s="487"/>
      <c r="CZ23" s="487"/>
      <c r="DA23" s="487"/>
      <c r="DB23" s="487"/>
      <c r="DC23" s="487"/>
      <c r="DD23" s="487"/>
      <c r="DE23" s="487"/>
      <c r="DF23" s="487"/>
      <c r="DG23" s="487"/>
      <c r="DH23" s="487"/>
      <c r="DI23" s="487"/>
      <c r="DJ23" s="487"/>
      <c r="DK23" s="487"/>
      <c r="DL23" s="487"/>
      <c r="DM23" s="487"/>
      <c r="DN23" s="487"/>
      <c r="DO23" s="487"/>
      <c r="DP23" s="487"/>
    </row>
    <row r="24" spans="1:120" x14ac:dyDescent="0.25">
      <c r="A24" s="484"/>
      <c r="B24" s="441" t="s">
        <v>34</v>
      </c>
      <c r="C24" s="635" t="s">
        <v>19</v>
      </c>
      <c r="D24" s="637">
        <v>0</v>
      </c>
      <c r="E24" s="521">
        <f>$E$15*'Revenue_Sales Assumptions'!E32</f>
        <v>0</v>
      </c>
      <c r="F24" s="521">
        <f>$F$15*'Revenue_Sales Assumptions'!F32</f>
        <v>0</v>
      </c>
      <c r="G24" s="521">
        <f>$G$15*'Revenue_Sales Assumptions'!G32</f>
        <v>0</v>
      </c>
      <c r="H24" s="521">
        <f>$H$15*'Revenue_Sales Assumptions'!H32</f>
        <v>0</v>
      </c>
      <c r="I24" s="522">
        <f>$I$15*'Revenue_Sales Assumptions'!I32</f>
        <v>0</v>
      </c>
      <c r="J24" s="486"/>
      <c r="K24" s="476"/>
      <c r="L24" s="487"/>
      <c r="M24" s="487"/>
      <c r="N24" s="487"/>
      <c r="O24" s="487"/>
      <c r="P24" s="487"/>
      <c r="Q24" s="487"/>
      <c r="R24" s="487"/>
      <c r="S24" s="487"/>
      <c r="T24" s="487"/>
      <c r="U24" s="487"/>
      <c r="V24" s="487"/>
      <c r="W24" s="487"/>
      <c r="X24" s="487"/>
      <c r="Y24" s="487"/>
      <c r="Z24" s="487"/>
      <c r="AA24" s="487"/>
      <c r="AB24" s="487"/>
      <c r="AC24" s="487"/>
      <c r="AD24" s="487"/>
      <c r="AE24" s="487"/>
      <c r="AF24" s="487"/>
      <c r="AG24" s="487"/>
      <c r="AH24" s="487"/>
      <c r="AI24" s="487"/>
      <c r="AJ24" s="487"/>
      <c r="AK24" s="487"/>
      <c r="AL24" s="487"/>
      <c r="AM24" s="487"/>
      <c r="AN24" s="487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7"/>
      <c r="BK24" s="487"/>
      <c r="BL24" s="487"/>
      <c r="BM24" s="487"/>
      <c r="BN24" s="487"/>
      <c r="BO24" s="487"/>
      <c r="BP24" s="487"/>
      <c r="BQ24" s="487"/>
      <c r="BR24" s="487"/>
      <c r="BS24" s="487"/>
      <c r="BT24" s="487"/>
      <c r="BU24" s="487"/>
      <c r="BV24" s="487"/>
      <c r="BW24" s="487"/>
      <c r="BX24" s="487"/>
      <c r="BY24" s="487"/>
      <c r="BZ24" s="487"/>
      <c r="CA24" s="487"/>
      <c r="CB24" s="487"/>
      <c r="CC24" s="487"/>
      <c r="CD24" s="487"/>
      <c r="CE24" s="487"/>
      <c r="CF24" s="487"/>
      <c r="CG24" s="487"/>
      <c r="CH24" s="487"/>
      <c r="CI24" s="487"/>
      <c r="CJ24" s="487"/>
      <c r="CK24" s="487"/>
      <c r="CL24" s="487"/>
      <c r="CM24" s="487"/>
      <c r="CN24" s="487"/>
      <c r="CO24" s="487"/>
      <c r="CP24" s="487"/>
      <c r="CQ24" s="487"/>
      <c r="CR24" s="487"/>
      <c r="CS24" s="487"/>
      <c r="CT24" s="487"/>
      <c r="CU24" s="487"/>
      <c r="CV24" s="487"/>
      <c r="CW24" s="487"/>
      <c r="CX24" s="487"/>
      <c r="CY24" s="487"/>
      <c r="CZ24" s="487"/>
      <c r="DA24" s="487"/>
      <c r="DB24" s="487"/>
      <c r="DC24" s="487"/>
      <c r="DD24" s="487"/>
      <c r="DE24" s="487"/>
      <c r="DF24" s="487"/>
      <c r="DG24" s="487"/>
      <c r="DH24" s="487"/>
      <c r="DI24" s="487"/>
      <c r="DJ24" s="487"/>
      <c r="DK24" s="487"/>
      <c r="DL24" s="487"/>
      <c r="DM24" s="487"/>
      <c r="DN24" s="487"/>
      <c r="DO24" s="487"/>
      <c r="DP24" s="487"/>
    </row>
    <row r="25" spans="1:120" ht="13" x14ac:dyDescent="0.25">
      <c r="A25" s="484"/>
      <c r="B25" s="638" t="s">
        <v>16</v>
      </c>
      <c r="C25" s="639" t="s">
        <v>19</v>
      </c>
      <c r="D25" s="640">
        <f t="shared" ref="D25:I25" si="17">SUM(D20:D24)</f>
        <v>47</v>
      </c>
      <c r="E25" s="640">
        <f t="shared" si="17"/>
        <v>0</v>
      </c>
      <c r="F25" s="640">
        <f t="shared" si="17"/>
        <v>0</v>
      </c>
      <c r="G25" s="640">
        <f t="shared" si="17"/>
        <v>0</v>
      </c>
      <c r="H25" s="640">
        <f t="shared" si="17"/>
        <v>0</v>
      </c>
      <c r="I25" s="641">
        <f t="shared" si="17"/>
        <v>0</v>
      </c>
      <c r="J25" s="486"/>
      <c r="K25" s="476"/>
      <c r="L25" s="487"/>
      <c r="M25" s="487"/>
      <c r="N25" s="487"/>
      <c r="O25" s="487"/>
      <c r="P25" s="487"/>
      <c r="Q25" s="487"/>
      <c r="R25" s="487"/>
      <c r="S25" s="487"/>
      <c r="T25" s="487"/>
      <c r="U25" s="487"/>
      <c r="V25" s="487"/>
      <c r="W25" s="487"/>
      <c r="X25" s="487"/>
      <c r="Y25" s="487"/>
      <c r="Z25" s="487"/>
      <c r="AA25" s="487"/>
      <c r="AB25" s="487"/>
      <c r="AC25" s="487"/>
      <c r="AD25" s="487"/>
      <c r="AE25" s="487"/>
      <c r="AF25" s="487"/>
      <c r="AG25" s="487"/>
      <c r="AH25" s="487"/>
      <c r="AI25" s="487"/>
      <c r="AJ25" s="487"/>
      <c r="AK25" s="487"/>
      <c r="AL25" s="487"/>
      <c r="AM25" s="487"/>
      <c r="AN25" s="487"/>
      <c r="AO25" s="487"/>
      <c r="AP25" s="487"/>
      <c r="AQ25" s="487"/>
      <c r="AR25" s="487"/>
      <c r="AS25" s="487"/>
      <c r="AT25" s="487"/>
      <c r="AU25" s="487"/>
      <c r="AV25" s="487"/>
      <c r="AW25" s="487"/>
      <c r="AX25" s="487"/>
      <c r="AY25" s="487"/>
      <c r="AZ25" s="487"/>
      <c r="BA25" s="487"/>
      <c r="BB25" s="487"/>
      <c r="BC25" s="487"/>
      <c r="BD25" s="487"/>
      <c r="BE25" s="487"/>
      <c r="BF25" s="487"/>
      <c r="BG25" s="487"/>
      <c r="BH25" s="487"/>
      <c r="BI25" s="487"/>
      <c r="BJ25" s="487"/>
      <c r="BK25" s="487"/>
      <c r="BL25" s="487"/>
      <c r="BM25" s="487"/>
      <c r="BN25" s="487"/>
      <c r="BO25" s="487"/>
      <c r="BP25" s="487"/>
      <c r="BQ25" s="487"/>
      <c r="BR25" s="487"/>
      <c r="BS25" s="487"/>
      <c r="BT25" s="487"/>
      <c r="BU25" s="487"/>
      <c r="BV25" s="487"/>
      <c r="BW25" s="487"/>
      <c r="BX25" s="487"/>
      <c r="BY25" s="487"/>
      <c r="BZ25" s="487"/>
      <c r="CA25" s="487"/>
      <c r="CB25" s="487"/>
      <c r="CC25" s="487"/>
      <c r="CD25" s="487"/>
      <c r="CE25" s="487"/>
      <c r="CF25" s="487"/>
      <c r="CG25" s="487"/>
      <c r="CH25" s="487"/>
      <c r="CI25" s="487"/>
      <c r="CJ25" s="487"/>
      <c r="CK25" s="487"/>
      <c r="CL25" s="487"/>
      <c r="CM25" s="487"/>
      <c r="CN25" s="487"/>
      <c r="CO25" s="487"/>
      <c r="CP25" s="487"/>
      <c r="CQ25" s="487"/>
      <c r="CR25" s="487"/>
      <c r="CS25" s="487"/>
      <c r="CT25" s="487"/>
      <c r="CU25" s="487"/>
      <c r="CV25" s="487"/>
      <c r="CW25" s="487"/>
      <c r="CX25" s="487"/>
      <c r="CY25" s="487"/>
      <c r="CZ25" s="487"/>
      <c r="DA25" s="487"/>
      <c r="DB25" s="487"/>
      <c r="DC25" s="487"/>
      <c r="DD25" s="487"/>
      <c r="DE25" s="487"/>
      <c r="DF25" s="487"/>
      <c r="DG25" s="487"/>
      <c r="DH25" s="487"/>
      <c r="DI25" s="487"/>
      <c r="DJ25" s="487"/>
      <c r="DK25" s="487"/>
      <c r="DL25" s="487"/>
      <c r="DM25" s="487"/>
      <c r="DN25" s="487"/>
      <c r="DO25" s="487"/>
      <c r="DP25" s="487"/>
    </row>
    <row r="26" spans="1:120" x14ac:dyDescent="0.25">
      <c r="A26" s="484"/>
      <c r="B26" s="441"/>
      <c r="C26" s="635"/>
      <c r="D26" s="637"/>
      <c r="E26" s="521"/>
      <c r="F26" s="521"/>
      <c r="G26" s="521"/>
      <c r="H26" s="521"/>
      <c r="I26" s="522"/>
      <c r="J26" s="486"/>
      <c r="K26" s="476"/>
      <c r="L26" s="487"/>
      <c r="M26" s="487"/>
      <c r="N26" s="487"/>
      <c r="O26" s="487"/>
      <c r="P26" s="487"/>
      <c r="Q26" s="487"/>
      <c r="R26" s="487"/>
      <c r="S26" s="487"/>
      <c r="T26" s="487"/>
      <c r="U26" s="487"/>
      <c r="V26" s="487"/>
      <c r="W26" s="487"/>
      <c r="X26" s="487"/>
      <c r="Y26" s="487"/>
      <c r="Z26" s="487"/>
      <c r="AA26" s="487"/>
      <c r="AB26" s="487"/>
      <c r="AC26" s="487"/>
      <c r="AD26" s="487"/>
      <c r="AE26" s="487"/>
      <c r="AF26" s="487"/>
      <c r="AG26" s="487"/>
      <c r="AH26" s="487"/>
      <c r="AI26" s="487"/>
      <c r="AJ26" s="487"/>
      <c r="AK26" s="487"/>
      <c r="AL26" s="487"/>
      <c r="AM26" s="487"/>
      <c r="AN26" s="487"/>
      <c r="AO26" s="487"/>
      <c r="AP26" s="487"/>
      <c r="AQ26" s="487"/>
      <c r="AR26" s="487"/>
      <c r="AS26" s="487"/>
      <c r="AT26" s="487"/>
      <c r="AU26" s="487"/>
      <c r="AV26" s="487"/>
      <c r="AW26" s="487"/>
      <c r="AX26" s="487"/>
      <c r="AY26" s="487"/>
      <c r="AZ26" s="487"/>
      <c r="BA26" s="487"/>
      <c r="BB26" s="487"/>
      <c r="BC26" s="487"/>
      <c r="BD26" s="487"/>
      <c r="BE26" s="487"/>
      <c r="BF26" s="487"/>
      <c r="BG26" s="487"/>
      <c r="BH26" s="487"/>
      <c r="BI26" s="487"/>
      <c r="BJ26" s="487"/>
      <c r="BK26" s="487"/>
      <c r="BL26" s="487"/>
      <c r="BM26" s="487"/>
      <c r="BN26" s="487"/>
      <c r="BO26" s="487"/>
      <c r="BP26" s="487"/>
      <c r="BQ26" s="487"/>
      <c r="BR26" s="487"/>
      <c r="BS26" s="487"/>
      <c r="BT26" s="487"/>
      <c r="BU26" s="487"/>
      <c r="BV26" s="487"/>
      <c r="BW26" s="487"/>
      <c r="BX26" s="487"/>
      <c r="BY26" s="487"/>
      <c r="BZ26" s="487"/>
      <c r="CA26" s="487"/>
      <c r="CB26" s="487"/>
      <c r="CC26" s="487"/>
      <c r="CD26" s="487"/>
      <c r="CE26" s="487"/>
      <c r="CF26" s="487"/>
      <c r="CG26" s="487"/>
      <c r="CH26" s="487"/>
      <c r="CI26" s="487"/>
      <c r="CJ26" s="487"/>
      <c r="CK26" s="487"/>
      <c r="CL26" s="487"/>
      <c r="CM26" s="487"/>
      <c r="CN26" s="487"/>
      <c r="CO26" s="487"/>
      <c r="CP26" s="487"/>
      <c r="CQ26" s="487"/>
      <c r="CR26" s="487"/>
      <c r="CS26" s="487"/>
      <c r="CT26" s="487"/>
      <c r="CU26" s="487"/>
      <c r="CV26" s="487"/>
      <c r="CW26" s="487"/>
      <c r="CX26" s="487"/>
      <c r="CY26" s="487"/>
      <c r="CZ26" s="487"/>
      <c r="DA26" s="487"/>
      <c r="DB26" s="487"/>
      <c r="DC26" s="487"/>
      <c r="DD26" s="487"/>
      <c r="DE26" s="487"/>
      <c r="DF26" s="487"/>
      <c r="DG26" s="487"/>
      <c r="DH26" s="487"/>
      <c r="DI26" s="487"/>
      <c r="DJ26" s="487"/>
      <c r="DK26" s="487"/>
      <c r="DL26" s="487"/>
      <c r="DM26" s="487"/>
      <c r="DN26" s="487"/>
      <c r="DO26" s="487"/>
      <c r="DP26" s="487"/>
    </row>
    <row r="27" spans="1:120" ht="13" x14ac:dyDescent="0.25">
      <c r="A27" s="484"/>
      <c r="B27" s="642" t="s">
        <v>322</v>
      </c>
      <c r="C27" s="513"/>
      <c r="D27" s="512"/>
      <c r="E27" s="521"/>
      <c r="F27" s="521"/>
      <c r="G27" s="521"/>
      <c r="H27" s="521"/>
      <c r="I27" s="522"/>
      <c r="J27" s="486"/>
      <c r="K27" s="476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Y27" s="487"/>
      <c r="Z27" s="487"/>
      <c r="AA27" s="487"/>
      <c r="AB27" s="487"/>
      <c r="AC27" s="487"/>
      <c r="AD27" s="487"/>
      <c r="AE27" s="487"/>
      <c r="AF27" s="487"/>
      <c r="AG27" s="487"/>
      <c r="AH27" s="487"/>
      <c r="AI27" s="487"/>
      <c r="AJ27" s="487"/>
      <c r="AK27" s="487"/>
      <c r="AL27" s="487"/>
      <c r="AM27" s="487"/>
      <c r="AN27" s="487"/>
      <c r="AO27" s="487"/>
      <c r="AP27" s="487"/>
      <c r="AQ27" s="487"/>
      <c r="AR27" s="487"/>
      <c r="AS27" s="487"/>
      <c r="AT27" s="487"/>
      <c r="AU27" s="487"/>
      <c r="AV27" s="487"/>
      <c r="AW27" s="487"/>
      <c r="AX27" s="487"/>
      <c r="AY27" s="487"/>
      <c r="AZ27" s="487"/>
      <c r="BA27" s="487"/>
      <c r="BB27" s="487"/>
      <c r="BC27" s="487"/>
      <c r="BD27" s="487"/>
      <c r="BE27" s="487"/>
      <c r="BF27" s="487"/>
      <c r="BG27" s="487"/>
      <c r="BH27" s="487"/>
      <c r="BI27" s="487"/>
      <c r="BJ27" s="487"/>
      <c r="BK27" s="487"/>
      <c r="BL27" s="487"/>
      <c r="BM27" s="487"/>
      <c r="BN27" s="487"/>
      <c r="BO27" s="487"/>
      <c r="BP27" s="487"/>
      <c r="BQ27" s="487"/>
      <c r="BR27" s="487"/>
      <c r="BS27" s="487"/>
      <c r="BT27" s="487"/>
      <c r="BU27" s="487"/>
      <c r="BV27" s="487"/>
      <c r="BW27" s="487"/>
      <c r="BX27" s="487"/>
      <c r="BY27" s="487"/>
      <c r="BZ27" s="487"/>
      <c r="CA27" s="487"/>
      <c r="CB27" s="487"/>
      <c r="CC27" s="487"/>
      <c r="CD27" s="487"/>
      <c r="CE27" s="487"/>
      <c r="CF27" s="487"/>
      <c r="CG27" s="487"/>
      <c r="CH27" s="487"/>
      <c r="CI27" s="487"/>
      <c r="CJ27" s="487"/>
      <c r="CK27" s="487"/>
      <c r="CL27" s="487"/>
      <c r="CM27" s="487"/>
      <c r="CN27" s="487"/>
      <c r="CO27" s="487"/>
      <c r="CP27" s="487"/>
      <c r="CQ27" s="487"/>
      <c r="CR27" s="487"/>
      <c r="CS27" s="487"/>
      <c r="CT27" s="487"/>
      <c r="CU27" s="487"/>
      <c r="CV27" s="487"/>
      <c r="CW27" s="487"/>
      <c r="CX27" s="487"/>
      <c r="CY27" s="487"/>
      <c r="CZ27" s="487"/>
      <c r="DA27" s="487"/>
      <c r="DB27" s="487"/>
      <c r="DC27" s="487"/>
      <c r="DD27" s="487"/>
      <c r="DE27" s="487"/>
      <c r="DF27" s="487"/>
      <c r="DG27" s="487"/>
      <c r="DH27" s="487"/>
      <c r="DI27" s="487"/>
      <c r="DJ27" s="487"/>
      <c r="DK27" s="487"/>
      <c r="DL27" s="487"/>
      <c r="DM27" s="487"/>
      <c r="DN27" s="487"/>
      <c r="DO27" s="487"/>
      <c r="DP27" s="487"/>
    </row>
    <row r="28" spans="1:120" x14ac:dyDescent="0.25">
      <c r="A28" s="484"/>
      <c r="B28" s="441" t="s">
        <v>39</v>
      </c>
      <c r="C28" s="524"/>
      <c r="D28" s="523"/>
      <c r="E28" s="643"/>
      <c r="F28" s="643"/>
      <c r="G28" s="643"/>
      <c r="H28" s="643"/>
      <c r="I28" s="644"/>
      <c r="J28" s="486"/>
      <c r="K28" s="476"/>
      <c r="L28" s="487"/>
      <c r="M28" s="487"/>
      <c r="N28" s="487"/>
      <c r="O28" s="487"/>
      <c r="P28" s="487"/>
      <c r="Q28" s="487"/>
      <c r="R28" s="487"/>
      <c r="S28" s="487"/>
      <c r="T28" s="487"/>
      <c r="U28" s="487"/>
      <c r="V28" s="487"/>
      <c r="W28" s="487"/>
      <c r="X28" s="487"/>
      <c r="Y28" s="487"/>
      <c r="Z28" s="487"/>
      <c r="AA28" s="487"/>
      <c r="AB28" s="487"/>
      <c r="AC28" s="487"/>
      <c r="AD28" s="487"/>
      <c r="AE28" s="487"/>
      <c r="AF28" s="487"/>
      <c r="AG28" s="487"/>
      <c r="AH28" s="487"/>
      <c r="AI28" s="487"/>
      <c r="AJ28" s="487"/>
      <c r="AK28" s="487"/>
      <c r="AL28" s="487"/>
      <c r="AM28" s="487"/>
      <c r="AN28" s="487"/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  <c r="AY28" s="487"/>
      <c r="AZ28" s="487"/>
      <c r="BA28" s="487"/>
      <c r="BB28" s="487"/>
      <c r="BC28" s="487"/>
      <c r="BD28" s="487"/>
      <c r="BE28" s="487"/>
      <c r="BF28" s="487"/>
      <c r="BG28" s="487"/>
      <c r="BH28" s="487"/>
      <c r="BI28" s="487"/>
      <c r="BJ28" s="487"/>
      <c r="BK28" s="487"/>
      <c r="BL28" s="487"/>
      <c r="BM28" s="487"/>
      <c r="BN28" s="487"/>
      <c r="BO28" s="487"/>
      <c r="BP28" s="487"/>
      <c r="BQ28" s="487"/>
      <c r="BR28" s="487"/>
      <c r="BS28" s="487"/>
      <c r="BT28" s="487"/>
      <c r="BU28" s="487"/>
      <c r="BV28" s="487"/>
      <c r="BW28" s="487"/>
      <c r="BX28" s="487"/>
      <c r="BY28" s="487"/>
      <c r="BZ28" s="487"/>
      <c r="CA28" s="487"/>
      <c r="CB28" s="487"/>
      <c r="CC28" s="487"/>
      <c r="CD28" s="487"/>
      <c r="CE28" s="487"/>
      <c r="CF28" s="487"/>
      <c r="CG28" s="487"/>
      <c r="CH28" s="487"/>
      <c r="CI28" s="487"/>
      <c r="CJ28" s="487"/>
      <c r="CK28" s="487"/>
      <c r="CL28" s="487"/>
      <c r="CM28" s="487"/>
      <c r="CN28" s="487"/>
      <c r="CO28" s="487"/>
      <c r="CP28" s="487"/>
      <c r="CQ28" s="487"/>
      <c r="CR28" s="487"/>
      <c r="CS28" s="487"/>
      <c r="CT28" s="487"/>
      <c r="CU28" s="487"/>
      <c r="CV28" s="487"/>
      <c r="CW28" s="487"/>
      <c r="CX28" s="487"/>
      <c r="CY28" s="487"/>
      <c r="CZ28" s="487"/>
      <c r="DA28" s="487"/>
      <c r="DB28" s="487"/>
      <c r="DC28" s="487"/>
      <c r="DD28" s="487"/>
      <c r="DE28" s="487"/>
      <c r="DF28" s="487"/>
      <c r="DG28" s="487"/>
      <c r="DH28" s="487"/>
      <c r="DI28" s="487"/>
      <c r="DJ28" s="487"/>
      <c r="DK28" s="487"/>
      <c r="DL28" s="487"/>
      <c r="DM28" s="487"/>
      <c r="DN28" s="487"/>
      <c r="DO28" s="487"/>
      <c r="DP28" s="487"/>
    </row>
    <row r="29" spans="1:120" x14ac:dyDescent="0.25">
      <c r="A29" s="484"/>
      <c r="B29" s="441" t="s">
        <v>35</v>
      </c>
      <c r="C29" s="524"/>
      <c r="D29" s="523"/>
      <c r="E29" s="645"/>
      <c r="F29" s="646"/>
      <c r="G29" s="646"/>
      <c r="H29" s="646"/>
      <c r="I29" s="647"/>
      <c r="J29" s="486"/>
      <c r="K29" s="476"/>
      <c r="L29" s="487"/>
      <c r="M29" s="487"/>
      <c r="N29" s="487"/>
      <c r="O29" s="487"/>
      <c r="P29" s="487"/>
      <c r="Q29" s="487"/>
      <c r="R29" s="487"/>
      <c r="S29" s="487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7"/>
      <c r="AF29" s="487"/>
      <c r="AG29" s="487"/>
      <c r="AH29" s="487"/>
      <c r="AI29" s="487"/>
      <c r="AJ29" s="487"/>
      <c r="AK29" s="487"/>
      <c r="AL29" s="487"/>
      <c r="AM29" s="487"/>
      <c r="AN29" s="487"/>
      <c r="AO29" s="487"/>
      <c r="AP29" s="487"/>
      <c r="AQ29" s="487"/>
      <c r="AR29" s="487"/>
      <c r="AS29" s="487"/>
      <c r="AT29" s="487"/>
      <c r="AU29" s="487"/>
      <c r="AV29" s="487"/>
      <c r="AW29" s="487"/>
      <c r="AX29" s="487"/>
      <c r="AY29" s="487"/>
      <c r="AZ29" s="487"/>
      <c r="BA29" s="487"/>
      <c r="BB29" s="487"/>
      <c r="BC29" s="487"/>
      <c r="BD29" s="487"/>
      <c r="BE29" s="487"/>
      <c r="BF29" s="487"/>
      <c r="BG29" s="487"/>
      <c r="BH29" s="487"/>
      <c r="BI29" s="487"/>
      <c r="BJ29" s="487"/>
      <c r="BK29" s="487"/>
      <c r="BL29" s="487"/>
      <c r="BM29" s="487"/>
      <c r="BN29" s="487"/>
      <c r="BO29" s="487"/>
      <c r="BP29" s="487"/>
      <c r="BQ29" s="487"/>
      <c r="BR29" s="487"/>
      <c r="BS29" s="487"/>
      <c r="BT29" s="487"/>
      <c r="BU29" s="487"/>
      <c r="BV29" s="487"/>
      <c r="BW29" s="487"/>
      <c r="BX29" s="487"/>
      <c r="BY29" s="487"/>
      <c r="BZ29" s="487"/>
      <c r="CA29" s="487"/>
      <c r="CB29" s="487"/>
      <c r="CC29" s="487"/>
      <c r="CD29" s="487"/>
      <c r="CE29" s="487"/>
      <c r="CF29" s="487"/>
      <c r="CG29" s="487"/>
      <c r="CH29" s="487"/>
      <c r="CI29" s="487"/>
      <c r="CJ29" s="487"/>
      <c r="CK29" s="487"/>
      <c r="CL29" s="487"/>
      <c r="CM29" s="487"/>
      <c r="CN29" s="487"/>
      <c r="CO29" s="487"/>
      <c r="CP29" s="487"/>
      <c r="CQ29" s="487"/>
      <c r="CR29" s="487"/>
      <c r="CS29" s="487"/>
      <c r="CT29" s="487"/>
      <c r="CU29" s="487"/>
      <c r="CV29" s="487"/>
      <c r="CW29" s="487"/>
      <c r="CX29" s="487"/>
      <c r="CY29" s="487"/>
      <c r="CZ29" s="487"/>
      <c r="DA29" s="487"/>
      <c r="DB29" s="487"/>
      <c r="DC29" s="487"/>
      <c r="DD29" s="487"/>
      <c r="DE29" s="487"/>
      <c r="DF29" s="487"/>
      <c r="DG29" s="487"/>
      <c r="DH29" s="487"/>
      <c r="DI29" s="487"/>
      <c r="DJ29" s="487"/>
      <c r="DK29" s="487"/>
      <c r="DL29" s="487"/>
      <c r="DM29" s="487"/>
      <c r="DN29" s="487"/>
      <c r="DO29" s="487"/>
      <c r="DP29" s="487"/>
    </row>
    <row r="30" spans="1:120" x14ac:dyDescent="0.25">
      <c r="A30" s="484"/>
      <c r="B30" s="441" t="s">
        <v>36</v>
      </c>
      <c r="C30" s="524"/>
      <c r="D30" s="523"/>
      <c r="E30" s="645"/>
      <c r="F30" s="646"/>
      <c r="G30" s="646"/>
      <c r="H30" s="646"/>
      <c r="I30" s="647"/>
      <c r="J30" s="486"/>
      <c r="K30" s="476"/>
      <c r="L30" s="487"/>
      <c r="M30" s="487"/>
      <c r="N30" s="487"/>
      <c r="O30" s="487"/>
      <c r="P30" s="487"/>
      <c r="Q30" s="487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487"/>
      <c r="AI30" s="487"/>
      <c r="AJ30" s="487"/>
      <c r="AK30" s="487"/>
      <c r="AL30" s="487"/>
      <c r="AM30" s="487"/>
      <c r="AN30" s="487"/>
      <c r="AO30" s="487"/>
      <c r="AP30" s="487"/>
      <c r="AQ30" s="487"/>
      <c r="AR30" s="487"/>
      <c r="AS30" s="487"/>
      <c r="AT30" s="487"/>
      <c r="AU30" s="487"/>
      <c r="AV30" s="487"/>
      <c r="AW30" s="487"/>
      <c r="AX30" s="487"/>
      <c r="AY30" s="487"/>
      <c r="AZ30" s="487"/>
      <c r="BA30" s="487"/>
      <c r="BB30" s="487"/>
      <c r="BC30" s="487"/>
      <c r="BD30" s="487"/>
      <c r="BE30" s="487"/>
      <c r="BF30" s="487"/>
      <c r="BG30" s="487"/>
      <c r="BH30" s="487"/>
      <c r="BI30" s="487"/>
      <c r="BJ30" s="487"/>
      <c r="BK30" s="487"/>
      <c r="BL30" s="487"/>
      <c r="BM30" s="487"/>
      <c r="BN30" s="487"/>
      <c r="BO30" s="487"/>
      <c r="BP30" s="487"/>
      <c r="BQ30" s="487"/>
      <c r="BR30" s="487"/>
      <c r="BS30" s="487"/>
      <c r="BT30" s="487"/>
      <c r="BU30" s="487"/>
      <c r="BV30" s="487"/>
      <c r="BW30" s="487"/>
      <c r="BX30" s="487"/>
      <c r="BY30" s="487"/>
      <c r="BZ30" s="487"/>
      <c r="CA30" s="487"/>
      <c r="CB30" s="487"/>
      <c r="CC30" s="487"/>
      <c r="CD30" s="487"/>
      <c r="CE30" s="487"/>
      <c r="CF30" s="487"/>
      <c r="CG30" s="487"/>
      <c r="CH30" s="487"/>
      <c r="CI30" s="487"/>
      <c r="CJ30" s="487"/>
      <c r="CK30" s="487"/>
      <c r="CL30" s="487"/>
      <c r="CM30" s="487"/>
      <c r="CN30" s="487"/>
      <c r="CO30" s="487"/>
      <c r="CP30" s="487"/>
      <c r="CQ30" s="487"/>
      <c r="CR30" s="487"/>
      <c r="CS30" s="487"/>
      <c r="CT30" s="487"/>
      <c r="CU30" s="487"/>
      <c r="CV30" s="487"/>
      <c r="CW30" s="487"/>
      <c r="CX30" s="487"/>
      <c r="CY30" s="487"/>
      <c r="CZ30" s="487"/>
      <c r="DA30" s="487"/>
      <c r="DB30" s="487"/>
      <c r="DC30" s="487"/>
      <c r="DD30" s="487"/>
      <c r="DE30" s="487"/>
      <c r="DF30" s="487"/>
      <c r="DG30" s="487"/>
      <c r="DH30" s="487"/>
      <c r="DI30" s="487"/>
      <c r="DJ30" s="487"/>
      <c r="DK30" s="487"/>
      <c r="DL30" s="487"/>
      <c r="DM30" s="487"/>
      <c r="DN30" s="487"/>
      <c r="DO30" s="487"/>
      <c r="DP30" s="487"/>
    </row>
    <row r="31" spans="1:120" x14ac:dyDescent="0.25">
      <c r="A31" s="484"/>
      <c r="B31" s="441" t="s">
        <v>37</v>
      </c>
      <c r="C31" s="524"/>
      <c r="D31" s="523"/>
      <c r="E31" s="645"/>
      <c r="F31" s="645"/>
      <c r="G31" s="646"/>
      <c r="H31" s="646"/>
      <c r="I31" s="647"/>
      <c r="J31" s="486"/>
      <c r="K31" s="476"/>
      <c r="L31" s="487"/>
      <c r="M31" s="487"/>
      <c r="N31" s="487"/>
      <c r="O31" s="487"/>
      <c r="P31" s="487"/>
      <c r="Q31" s="487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 s="487"/>
      <c r="AJ31" s="487"/>
      <c r="AK31" s="487"/>
      <c r="AL31" s="487"/>
      <c r="AM31" s="487"/>
      <c r="AN31" s="487"/>
      <c r="AO31" s="487"/>
      <c r="AP31" s="487"/>
      <c r="AQ31" s="487"/>
      <c r="AR31" s="487"/>
      <c r="AS31" s="487"/>
      <c r="AT31" s="487"/>
      <c r="AU31" s="487"/>
      <c r="AV31" s="487"/>
      <c r="AW31" s="487"/>
      <c r="AX31" s="487"/>
      <c r="AY31" s="487"/>
      <c r="AZ31" s="487"/>
      <c r="BA31" s="487"/>
      <c r="BB31" s="487"/>
      <c r="BC31" s="487"/>
      <c r="BD31" s="487"/>
      <c r="BE31" s="487"/>
      <c r="BF31" s="487"/>
      <c r="BG31" s="487"/>
      <c r="BH31" s="487"/>
      <c r="BI31" s="487"/>
      <c r="BJ31" s="487"/>
      <c r="BK31" s="487"/>
      <c r="BL31" s="487"/>
      <c r="BM31" s="487"/>
      <c r="BN31" s="487"/>
      <c r="BO31" s="487"/>
      <c r="BP31" s="487"/>
      <c r="BQ31" s="487"/>
      <c r="BR31" s="487"/>
      <c r="BS31" s="487"/>
      <c r="BT31" s="487"/>
      <c r="BU31" s="487"/>
      <c r="BV31" s="487"/>
      <c r="BW31" s="487"/>
      <c r="BX31" s="487"/>
      <c r="BY31" s="487"/>
      <c r="BZ31" s="487"/>
      <c r="CA31" s="487"/>
      <c r="CB31" s="487"/>
      <c r="CC31" s="487"/>
      <c r="CD31" s="487"/>
      <c r="CE31" s="487"/>
      <c r="CF31" s="487"/>
      <c r="CG31" s="487"/>
      <c r="CH31" s="487"/>
      <c r="CI31" s="487"/>
      <c r="CJ31" s="487"/>
      <c r="CK31" s="487"/>
      <c r="CL31" s="487"/>
      <c r="CM31" s="487"/>
      <c r="CN31" s="487"/>
      <c r="CO31" s="487"/>
      <c r="CP31" s="487"/>
      <c r="CQ31" s="487"/>
      <c r="CR31" s="487"/>
      <c r="CS31" s="487"/>
      <c r="CT31" s="487"/>
      <c r="CU31" s="487"/>
      <c r="CV31" s="487"/>
      <c r="CW31" s="487"/>
      <c r="CX31" s="487"/>
      <c r="CY31" s="487"/>
      <c r="CZ31" s="487"/>
      <c r="DA31" s="487"/>
      <c r="DB31" s="487"/>
      <c r="DC31" s="487"/>
      <c r="DD31" s="487"/>
      <c r="DE31" s="487"/>
      <c r="DF31" s="487"/>
      <c r="DG31" s="487"/>
      <c r="DH31" s="487"/>
      <c r="DI31" s="487"/>
      <c r="DJ31" s="487"/>
      <c r="DK31" s="487"/>
      <c r="DL31" s="487"/>
      <c r="DM31" s="487"/>
      <c r="DN31" s="487"/>
      <c r="DO31" s="487"/>
      <c r="DP31" s="487"/>
    </row>
    <row r="32" spans="1:120" x14ac:dyDescent="0.25">
      <c r="A32" s="484"/>
      <c r="B32" s="441" t="s">
        <v>34</v>
      </c>
      <c r="C32" s="524"/>
      <c r="D32" s="523"/>
      <c r="E32" s="645"/>
      <c r="F32" s="645"/>
      <c r="G32" s="645"/>
      <c r="H32" s="645"/>
      <c r="I32" s="648"/>
      <c r="J32" s="486"/>
      <c r="K32" s="476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7"/>
      <c r="AN32" s="487"/>
      <c r="AO32" s="487"/>
      <c r="AP32" s="487"/>
      <c r="AQ32" s="487"/>
      <c r="AR32" s="487"/>
      <c r="AS32" s="487"/>
      <c r="AT32" s="487"/>
      <c r="AU32" s="487"/>
      <c r="AV32" s="487"/>
      <c r="AW32" s="487"/>
      <c r="AX32" s="487"/>
      <c r="AY32" s="487"/>
      <c r="AZ32" s="487"/>
      <c r="BA32" s="487"/>
      <c r="BB32" s="487"/>
      <c r="BC32" s="487"/>
      <c r="BD32" s="487"/>
      <c r="BE32" s="487"/>
      <c r="BF32" s="487"/>
      <c r="BG32" s="487"/>
      <c r="BH32" s="487"/>
      <c r="BI32" s="487"/>
      <c r="BJ32" s="487"/>
      <c r="BK32" s="487"/>
      <c r="BL32" s="487"/>
      <c r="BM32" s="487"/>
      <c r="BN32" s="487"/>
      <c r="BO32" s="487"/>
      <c r="BP32" s="487"/>
      <c r="BQ32" s="487"/>
      <c r="BR32" s="487"/>
      <c r="BS32" s="487"/>
      <c r="BT32" s="487"/>
      <c r="BU32" s="487"/>
      <c r="BV32" s="487"/>
      <c r="BW32" s="487"/>
      <c r="BX32" s="487"/>
      <c r="BY32" s="487"/>
      <c r="BZ32" s="487"/>
      <c r="CA32" s="487"/>
      <c r="CB32" s="487"/>
      <c r="CC32" s="487"/>
      <c r="CD32" s="487"/>
      <c r="CE32" s="487"/>
      <c r="CF32" s="487"/>
      <c r="CG32" s="487"/>
      <c r="CH32" s="487"/>
      <c r="CI32" s="487"/>
      <c r="CJ32" s="487"/>
      <c r="CK32" s="487"/>
      <c r="CL32" s="487"/>
      <c r="CM32" s="487"/>
      <c r="CN32" s="487"/>
      <c r="CO32" s="487"/>
      <c r="CP32" s="487"/>
      <c r="CQ32" s="487"/>
      <c r="CR32" s="487"/>
      <c r="CS32" s="487"/>
      <c r="CT32" s="487"/>
      <c r="CU32" s="487"/>
      <c r="CV32" s="487"/>
      <c r="CW32" s="487"/>
      <c r="CX32" s="487"/>
      <c r="CY32" s="487"/>
      <c r="CZ32" s="487"/>
      <c r="DA32" s="487"/>
      <c r="DB32" s="487"/>
      <c r="DC32" s="487"/>
      <c r="DD32" s="487"/>
      <c r="DE32" s="487"/>
      <c r="DF32" s="487"/>
      <c r="DG32" s="487"/>
      <c r="DH32" s="487"/>
      <c r="DI32" s="487"/>
      <c r="DJ32" s="487"/>
      <c r="DK32" s="487"/>
      <c r="DL32" s="487"/>
      <c r="DM32" s="487"/>
      <c r="DN32" s="487"/>
      <c r="DO32" s="487"/>
      <c r="DP32" s="487"/>
    </row>
    <row r="33" spans="1:120" ht="13" x14ac:dyDescent="0.25">
      <c r="A33" s="484"/>
      <c r="B33" s="649" t="s">
        <v>16</v>
      </c>
      <c r="C33" s="650"/>
      <c r="D33" s="651"/>
      <c r="E33" s="651">
        <f>SUM(E28:E32)</f>
        <v>0</v>
      </c>
      <c r="F33" s="651">
        <f>SUM(F28:F32)</f>
        <v>0</v>
      </c>
      <c r="G33" s="651">
        <f>SUM(G28:G32)</f>
        <v>0</v>
      </c>
      <c r="H33" s="651">
        <f>SUM(H28:H32)</f>
        <v>0</v>
      </c>
      <c r="I33" s="652">
        <f>SUM(I28:I32)</f>
        <v>0</v>
      </c>
      <c r="J33" s="486"/>
      <c r="K33" s="476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 s="487"/>
      <c r="AJ33" s="487"/>
      <c r="AK33" s="487"/>
      <c r="AL33" s="487"/>
      <c r="AM33" s="487"/>
      <c r="AN33" s="487"/>
      <c r="AO33" s="487"/>
      <c r="AP33" s="487"/>
      <c r="AQ33" s="487"/>
      <c r="AR33" s="487"/>
      <c r="AS33" s="487"/>
      <c r="AT33" s="487"/>
      <c r="AU33" s="487"/>
      <c r="AV33" s="487"/>
      <c r="AW33" s="487"/>
      <c r="AX33" s="487"/>
      <c r="AY33" s="487"/>
      <c r="AZ33" s="487"/>
      <c r="BA33" s="487"/>
      <c r="BB33" s="487"/>
      <c r="BC33" s="487"/>
      <c r="BD33" s="487"/>
      <c r="BE33" s="487"/>
      <c r="BF33" s="487"/>
      <c r="BG33" s="487"/>
      <c r="BH33" s="487"/>
      <c r="BI33" s="487"/>
      <c r="BJ33" s="487"/>
      <c r="BK33" s="487"/>
      <c r="BL33" s="487"/>
      <c r="BM33" s="487"/>
      <c r="BN33" s="487"/>
      <c r="BO33" s="487"/>
      <c r="BP33" s="487"/>
      <c r="BQ33" s="487"/>
      <c r="BR33" s="487"/>
      <c r="BS33" s="487"/>
      <c r="BT33" s="487"/>
      <c r="BU33" s="487"/>
      <c r="BV33" s="487"/>
      <c r="BW33" s="487"/>
      <c r="BX33" s="487"/>
      <c r="BY33" s="487"/>
      <c r="BZ33" s="487"/>
      <c r="CA33" s="487"/>
      <c r="CB33" s="487"/>
      <c r="CC33" s="487"/>
      <c r="CD33" s="487"/>
      <c r="CE33" s="487"/>
      <c r="CF33" s="487"/>
      <c r="CG33" s="487"/>
      <c r="CH33" s="487"/>
      <c r="CI33" s="487"/>
      <c r="CJ33" s="487"/>
      <c r="CK33" s="487"/>
      <c r="CL33" s="487"/>
      <c r="CM33" s="487"/>
      <c r="CN33" s="487"/>
      <c r="CO33" s="487"/>
      <c r="CP33" s="487"/>
      <c r="CQ33" s="487"/>
      <c r="CR33" s="487"/>
      <c r="CS33" s="487"/>
      <c r="CT33" s="487"/>
      <c r="CU33" s="487"/>
      <c r="CV33" s="487"/>
      <c r="CW33" s="487"/>
      <c r="CX33" s="487"/>
      <c r="CY33" s="487"/>
      <c r="CZ33" s="487"/>
      <c r="DA33" s="487"/>
      <c r="DB33" s="487"/>
      <c r="DC33" s="487"/>
      <c r="DD33" s="487"/>
      <c r="DE33" s="487"/>
      <c r="DF33" s="487"/>
      <c r="DG33" s="487"/>
      <c r="DH33" s="487"/>
      <c r="DI33" s="487"/>
      <c r="DJ33" s="487"/>
      <c r="DK33" s="487"/>
      <c r="DL33" s="487"/>
      <c r="DM33" s="487"/>
      <c r="DN33" s="487"/>
      <c r="DO33" s="487"/>
      <c r="DP33" s="487"/>
    </row>
    <row r="34" spans="1:120" x14ac:dyDescent="0.25">
      <c r="A34" s="484"/>
      <c r="B34" s="441"/>
      <c r="C34" s="635"/>
      <c r="D34" s="637"/>
      <c r="E34" s="521"/>
      <c r="F34" s="521"/>
      <c r="G34" s="521"/>
      <c r="H34" s="521"/>
      <c r="I34" s="522"/>
      <c r="J34" s="486"/>
      <c r="K34" s="476"/>
      <c r="L34" s="487"/>
      <c r="M34" s="487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7"/>
      <c r="AO34" s="487"/>
      <c r="AP34" s="487"/>
      <c r="AQ34" s="487"/>
      <c r="AR34" s="487"/>
      <c r="AS34" s="487"/>
      <c r="AT34" s="487"/>
      <c r="AU34" s="487"/>
      <c r="AV34" s="487"/>
      <c r="AW34" s="487"/>
      <c r="AX34" s="487"/>
      <c r="AY34" s="487"/>
      <c r="AZ34" s="487"/>
      <c r="BA34" s="487"/>
      <c r="BB34" s="487"/>
      <c r="BC34" s="487"/>
      <c r="BD34" s="487"/>
      <c r="BE34" s="487"/>
      <c r="BF34" s="487"/>
      <c r="BG34" s="487"/>
      <c r="BH34" s="487"/>
      <c r="BI34" s="487"/>
      <c r="BJ34" s="487"/>
      <c r="BK34" s="487"/>
      <c r="BL34" s="487"/>
      <c r="BM34" s="487"/>
      <c r="BN34" s="487"/>
      <c r="BO34" s="487"/>
      <c r="BP34" s="487"/>
      <c r="BQ34" s="487"/>
      <c r="BR34" s="487"/>
      <c r="BS34" s="487"/>
      <c r="BT34" s="487"/>
      <c r="BU34" s="487"/>
      <c r="BV34" s="487"/>
      <c r="BW34" s="487"/>
      <c r="BX34" s="487"/>
      <c r="BY34" s="487"/>
      <c r="BZ34" s="487"/>
      <c r="CA34" s="487"/>
      <c r="CB34" s="487"/>
      <c r="CC34" s="487"/>
      <c r="CD34" s="487"/>
      <c r="CE34" s="487"/>
      <c r="CF34" s="487"/>
      <c r="CG34" s="487"/>
      <c r="CH34" s="487"/>
      <c r="CI34" s="487"/>
      <c r="CJ34" s="487"/>
      <c r="CK34" s="487"/>
      <c r="CL34" s="487"/>
      <c r="CM34" s="487"/>
      <c r="CN34" s="487"/>
      <c r="CO34" s="487"/>
      <c r="CP34" s="487"/>
      <c r="CQ34" s="487"/>
      <c r="CR34" s="487"/>
      <c r="CS34" s="487"/>
      <c r="CT34" s="487"/>
      <c r="CU34" s="487"/>
      <c r="CV34" s="487"/>
      <c r="CW34" s="487"/>
      <c r="CX34" s="487"/>
      <c r="CY34" s="487"/>
      <c r="CZ34" s="487"/>
      <c r="DA34" s="487"/>
      <c r="DB34" s="487"/>
      <c r="DC34" s="487"/>
      <c r="DD34" s="487"/>
      <c r="DE34" s="487"/>
      <c r="DF34" s="487"/>
      <c r="DG34" s="487"/>
      <c r="DH34" s="487"/>
      <c r="DI34" s="487"/>
      <c r="DJ34" s="487"/>
      <c r="DK34" s="487"/>
      <c r="DL34" s="487"/>
      <c r="DM34" s="487"/>
      <c r="DN34" s="487"/>
      <c r="DO34" s="487"/>
      <c r="DP34" s="487"/>
    </row>
    <row r="35" spans="1:120" x14ac:dyDescent="0.25">
      <c r="A35" s="484"/>
      <c r="B35" s="441"/>
      <c r="C35" s="635"/>
      <c r="D35" s="637"/>
      <c r="E35" s="521"/>
      <c r="F35" s="521"/>
      <c r="G35" s="521"/>
      <c r="H35" s="521"/>
      <c r="I35" s="522"/>
      <c r="J35" s="486"/>
      <c r="K35" s="476"/>
      <c r="L35" s="487"/>
      <c r="M35" s="487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 s="487"/>
      <c r="AJ35" s="487"/>
      <c r="AK35" s="487"/>
      <c r="AL35" s="487"/>
      <c r="AM35" s="487"/>
      <c r="AN35" s="487"/>
      <c r="AO35" s="487"/>
      <c r="AP35" s="487"/>
      <c r="AQ35" s="487"/>
      <c r="AR35" s="487"/>
      <c r="AS35" s="487"/>
      <c r="AT35" s="487"/>
      <c r="AU35" s="487"/>
      <c r="AV35" s="487"/>
      <c r="AW35" s="487"/>
      <c r="AX35" s="487"/>
      <c r="AY35" s="487"/>
      <c r="AZ35" s="487"/>
      <c r="BA35" s="487"/>
      <c r="BB35" s="487"/>
      <c r="BC35" s="487"/>
      <c r="BD35" s="487"/>
      <c r="BE35" s="487"/>
      <c r="BF35" s="487"/>
      <c r="BG35" s="487"/>
      <c r="BH35" s="487"/>
      <c r="BI35" s="487"/>
      <c r="BJ35" s="487"/>
      <c r="BK35" s="487"/>
      <c r="BL35" s="487"/>
      <c r="BM35" s="487"/>
      <c r="BN35" s="487"/>
      <c r="BO35" s="487"/>
      <c r="BP35" s="487"/>
      <c r="BQ35" s="487"/>
      <c r="BR35" s="487"/>
      <c r="BS35" s="487"/>
      <c r="BT35" s="487"/>
      <c r="BU35" s="487"/>
      <c r="BV35" s="487"/>
      <c r="BW35" s="487"/>
      <c r="BX35" s="487"/>
      <c r="BY35" s="487"/>
      <c r="BZ35" s="487"/>
      <c r="CA35" s="487"/>
      <c r="CB35" s="487"/>
      <c r="CC35" s="487"/>
      <c r="CD35" s="487"/>
      <c r="CE35" s="487"/>
      <c r="CF35" s="487"/>
      <c r="CG35" s="487"/>
      <c r="CH35" s="487"/>
      <c r="CI35" s="487"/>
      <c r="CJ35" s="487"/>
      <c r="CK35" s="487"/>
      <c r="CL35" s="487"/>
      <c r="CM35" s="487"/>
      <c r="CN35" s="487"/>
      <c r="CO35" s="487"/>
      <c r="CP35" s="487"/>
      <c r="CQ35" s="487"/>
      <c r="CR35" s="487"/>
      <c r="CS35" s="487"/>
      <c r="CT35" s="487"/>
      <c r="CU35" s="487"/>
      <c r="CV35" s="487"/>
      <c r="CW35" s="487"/>
      <c r="CX35" s="487"/>
      <c r="CY35" s="487"/>
      <c r="CZ35" s="487"/>
      <c r="DA35" s="487"/>
      <c r="DB35" s="487"/>
      <c r="DC35" s="487"/>
      <c r="DD35" s="487"/>
      <c r="DE35" s="487"/>
      <c r="DF35" s="487"/>
      <c r="DG35" s="487"/>
      <c r="DH35" s="487"/>
      <c r="DI35" s="487"/>
      <c r="DJ35" s="487"/>
      <c r="DK35" s="487"/>
      <c r="DL35" s="487"/>
      <c r="DM35" s="487"/>
      <c r="DN35" s="487"/>
      <c r="DO35" s="487"/>
      <c r="DP35" s="487"/>
    </row>
    <row r="36" spans="1:120" ht="13" x14ac:dyDescent="0.25">
      <c r="A36" s="484"/>
      <c r="B36" s="632" t="s">
        <v>323</v>
      </c>
      <c r="C36" s="625"/>
      <c r="D36" s="626"/>
      <c r="E36" s="521"/>
      <c r="F36" s="521"/>
      <c r="G36" s="521"/>
      <c r="H36" s="521"/>
      <c r="I36" s="522"/>
      <c r="J36" s="486"/>
      <c r="K36" s="476"/>
      <c r="L36" s="487"/>
      <c r="M36" s="487"/>
      <c r="N36" s="487"/>
      <c r="O36" s="487"/>
      <c r="P36" s="487"/>
      <c r="Q36" s="487"/>
      <c r="R36" s="487"/>
      <c r="S36" s="487"/>
      <c r="T36" s="487"/>
      <c r="U36" s="487"/>
      <c r="V36" s="487"/>
      <c r="W36" s="487"/>
      <c r="X36" s="487"/>
      <c r="Y36" s="487"/>
      <c r="Z36" s="487"/>
      <c r="AA36" s="487"/>
      <c r="AB36" s="487"/>
      <c r="AC36" s="487"/>
      <c r="AD36" s="487"/>
      <c r="AE36" s="487"/>
      <c r="AF36" s="487"/>
      <c r="AG36" s="487"/>
      <c r="AH36" s="487"/>
      <c r="AI36" s="487"/>
      <c r="AJ36" s="487"/>
      <c r="AK36" s="487"/>
      <c r="AL36" s="487"/>
      <c r="AM36" s="487"/>
      <c r="AN36" s="487"/>
      <c r="AO36" s="487"/>
      <c r="AP36" s="487"/>
      <c r="AQ36" s="487"/>
      <c r="AR36" s="487"/>
      <c r="AS36" s="487"/>
      <c r="AT36" s="487"/>
      <c r="AU36" s="487"/>
      <c r="AV36" s="487"/>
      <c r="AW36" s="487"/>
      <c r="AX36" s="487"/>
      <c r="AY36" s="487"/>
      <c r="AZ36" s="487"/>
      <c r="BA36" s="487"/>
      <c r="BB36" s="487"/>
      <c r="BC36" s="487"/>
      <c r="BD36" s="487"/>
      <c r="BE36" s="487"/>
      <c r="BF36" s="487"/>
      <c r="BG36" s="487"/>
      <c r="BH36" s="487"/>
      <c r="BI36" s="487"/>
      <c r="BJ36" s="487"/>
      <c r="BK36" s="487"/>
      <c r="BL36" s="487"/>
      <c r="BM36" s="487"/>
      <c r="BN36" s="487"/>
      <c r="BO36" s="487"/>
      <c r="BP36" s="487"/>
      <c r="BQ36" s="487"/>
      <c r="BR36" s="487"/>
      <c r="BS36" s="487"/>
      <c r="BT36" s="487"/>
      <c r="BU36" s="487"/>
      <c r="BV36" s="487"/>
      <c r="BW36" s="487"/>
      <c r="BX36" s="487"/>
      <c r="BY36" s="487"/>
      <c r="BZ36" s="487"/>
      <c r="CA36" s="487"/>
      <c r="CB36" s="487"/>
      <c r="CC36" s="487"/>
      <c r="CD36" s="487"/>
      <c r="CE36" s="487"/>
      <c r="CF36" s="487"/>
      <c r="CG36" s="487"/>
      <c r="CH36" s="487"/>
      <c r="CI36" s="487"/>
      <c r="CJ36" s="487"/>
      <c r="CK36" s="487"/>
      <c r="CL36" s="487"/>
      <c r="CM36" s="487"/>
      <c r="CN36" s="487"/>
      <c r="CO36" s="487"/>
      <c r="CP36" s="487"/>
      <c r="CQ36" s="487"/>
      <c r="CR36" s="487"/>
      <c r="CS36" s="487"/>
      <c r="CT36" s="487"/>
      <c r="CU36" s="487"/>
      <c r="CV36" s="487"/>
      <c r="CW36" s="487"/>
      <c r="CX36" s="487"/>
      <c r="CY36" s="487"/>
      <c r="CZ36" s="487"/>
      <c r="DA36" s="487"/>
      <c r="DB36" s="487"/>
      <c r="DC36" s="487"/>
      <c r="DD36" s="487"/>
      <c r="DE36" s="487"/>
      <c r="DF36" s="487"/>
      <c r="DG36" s="487"/>
      <c r="DH36" s="487"/>
      <c r="DI36" s="487"/>
      <c r="DJ36" s="487"/>
      <c r="DK36" s="487"/>
      <c r="DL36" s="487"/>
      <c r="DM36" s="487"/>
      <c r="DN36" s="487"/>
      <c r="DO36" s="487"/>
      <c r="DP36" s="487"/>
    </row>
    <row r="37" spans="1:120" x14ac:dyDescent="0.25">
      <c r="A37" s="484"/>
      <c r="B37" s="441" t="s">
        <v>295</v>
      </c>
      <c r="C37" s="635" t="s">
        <v>19</v>
      </c>
      <c r="D37" s="653"/>
      <c r="E37" s="521"/>
      <c r="F37" s="521"/>
      <c r="G37" s="521"/>
      <c r="H37" s="521"/>
      <c r="I37" s="522"/>
      <c r="J37" s="730"/>
      <c r="K37" s="476"/>
      <c r="L37" s="487"/>
      <c r="M37" s="487"/>
      <c r="N37" s="487"/>
      <c r="O37" s="487"/>
      <c r="P37" s="654"/>
      <c r="Q37" s="654"/>
      <c r="R37" s="654"/>
      <c r="S37" s="654"/>
      <c r="T37" s="654"/>
      <c r="U37" s="487"/>
      <c r="V37" s="487"/>
      <c r="W37" s="487"/>
      <c r="X37" s="487"/>
      <c r="Y37" s="487"/>
      <c r="Z37" s="487"/>
      <c r="AA37" s="487"/>
      <c r="AB37" s="487"/>
      <c r="AC37" s="487"/>
      <c r="AD37" s="487"/>
      <c r="AE37" s="487"/>
      <c r="AF37" s="487"/>
      <c r="AG37" s="487"/>
      <c r="AH37" s="487"/>
      <c r="AI37" s="487"/>
      <c r="AJ37" s="487"/>
      <c r="AK37" s="487"/>
      <c r="AL37" s="487"/>
      <c r="AM37" s="487"/>
      <c r="AN37" s="487"/>
      <c r="AO37" s="487"/>
      <c r="AP37" s="487"/>
      <c r="AQ37" s="487"/>
      <c r="AR37" s="487"/>
      <c r="AS37" s="487"/>
      <c r="AT37" s="487"/>
      <c r="AU37" s="487"/>
      <c r="AV37" s="487"/>
      <c r="AW37" s="487"/>
      <c r="AX37" s="487"/>
      <c r="AY37" s="487"/>
      <c r="AZ37" s="487"/>
      <c r="BA37" s="487"/>
      <c r="BB37" s="487"/>
      <c r="BC37" s="487"/>
      <c r="BD37" s="487"/>
      <c r="BE37" s="487"/>
      <c r="BF37" s="487"/>
      <c r="BG37" s="487"/>
      <c r="BH37" s="487"/>
      <c r="BI37" s="487"/>
      <c r="BJ37" s="487"/>
      <c r="BK37" s="487"/>
      <c r="BL37" s="487"/>
      <c r="BM37" s="487"/>
      <c r="BN37" s="487"/>
      <c r="BO37" s="487"/>
      <c r="BP37" s="487"/>
      <c r="BQ37" s="487"/>
      <c r="BR37" s="487"/>
      <c r="BS37" s="487"/>
      <c r="BT37" s="487"/>
      <c r="BU37" s="487"/>
      <c r="BV37" s="487"/>
      <c r="BW37" s="487"/>
      <c r="BX37" s="487"/>
      <c r="BY37" s="487"/>
      <c r="BZ37" s="487"/>
      <c r="CA37" s="487"/>
      <c r="CB37" s="487"/>
      <c r="CC37" s="487"/>
      <c r="CD37" s="487"/>
      <c r="CE37" s="487"/>
      <c r="CF37" s="487"/>
      <c r="CG37" s="487"/>
      <c r="CH37" s="487"/>
      <c r="CI37" s="487"/>
      <c r="CJ37" s="487"/>
      <c r="CK37" s="487"/>
      <c r="CL37" s="487"/>
      <c r="CM37" s="487"/>
      <c r="CN37" s="487"/>
      <c r="CO37" s="487"/>
      <c r="CP37" s="487"/>
      <c r="CQ37" s="487"/>
      <c r="CR37" s="487"/>
      <c r="CS37" s="487"/>
      <c r="CT37" s="487"/>
      <c r="CU37" s="487"/>
      <c r="CV37" s="487"/>
      <c r="CW37" s="487"/>
      <c r="CX37" s="487"/>
      <c r="CY37" s="487"/>
      <c r="CZ37" s="487"/>
      <c r="DA37" s="487"/>
      <c r="DB37" s="487"/>
      <c r="DC37" s="487"/>
      <c r="DD37" s="487"/>
      <c r="DE37" s="487"/>
      <c r="DF37" s="487"/>
      <c r="DG37" s="487"/>
      <c r="DH37" s="487"/>
      <c r="DI37" s="487"/>
      <c r="DJ37" s="487"/>
      <c r="DK37" s="487"/>
      <c r="DL37" s="487"/>
      <c r="DM37" s="487"/>
      <c r="DN37" s="487"/>
      <c r="DO37" s="487"/>
      <c r="DP37" s="487"/>
    </row>
    <row r="38" spans="1:120" x14ac:dyDescent="0.25">
      <c r="A38" s="484"/>
      <c r="B38" s="441" t="s">
        <v>296</v>
      </c>
      <c r="C38" s="635" t="s">
        <v>19</v>
      </c>
      <c r="D38" s="653"/>
      <c r="E38" s="521"/>
      <c r="F38" s="521"/>
      <c r="G38" s="521"/>
      <c r="H38" s="521"/>
      <c r="I38" s="522"/>
      <c r="J38" s="486"/>
      <c r="K38" s="476"/>
      <c r="L38" s="487"/>
      <c r="M38" s="487"/>
      <c r="N38" s="487"/>
      <c r="O38" s="487"/>
      <c r="P38" s="654"/>
      <c r="Q38" s="654"/>
      <c r="R38" s="654"/>
      <c r="S38" s="654"/>
      <c r="T38" s="654"/>
      <c r="U38" s="487"/>
      <c r="V38" s="487"/>
      <c r="W38" s="487"/>
      <c r="X38" s="487"/>
      <c r="Y38" s="487"/>
      <c r="Z38" s="487"/>
      <c r="AA38" s="487"/>
      <c r="AB38" s="487"/>
      <c r="AC38" s="487"/>
      <c r="AD38" s="487"/>
      <c r="AE38" s="487"/>
      <c r="AF38" s="487"/>
      <c r="AG38" s="487"/>
      <c r="AH38" s="487"/>
      <c r="AI38" s="487"/>
      <c r="AJ38" s="487"/>
      <c r="AK38" s="487"/>
      <c r="AL38" s="487"/>
      <c r="AM38" s="487"/>
      <c r="AN38" s="487"/>
      <c r="AO38" s="487"/>
      <c r="AP38" s="487"/>
      <c r="AQ38" s="487"/>
      <c r="AR38" s="487"/>
      <c r="AS38" s="487"/>
      <c r="AT38" s="487"/>
      <c r="AU38" s="487"/>
      <c r="AV38" s="487"/>
      <c r="AW38" s="487"/>
      <c r="AX38" s="487"/>
      <c r="AY38" s="487"/>
      <c r="AZ38" s="487"/>
      <c r="BA38" s="487"/>
      <c r="BB38" s="487"/>
      <c r="BC38" s="487"/>
      <c r="BD38" s="487"/>
      <c r="BE38" s="487"/>
      <c r="BF38" s="487"/>
      <c r="BG38" s="487"/>
      <c r="BH38" s="487"/>
      <c r="BI38" s="487"/>
      <c r="BJ38" s="487"/>
      <c r="BK38" s="487"/>
      <c r="BL38" s="487"/>
      <c r="BM38" s="487"/>
      <c r="BN38" s="487"/>
      <c r="BO38" s="487"/>
      <c r="BP38" s="487"/>
      <c r="BQ38" s="487"/>
      <c r="BR38" s="487"/>
      <c r="BS38" s="487"/>
      <c r="BT38" s="487"/>
      <c r="BU38" s="487"/>
      <c r="BV38" s="487"/>
      <c r="BW38" s="487"/>
      <c r="BX38" s="487"/>
      <c r="BY38" s="487"/>
      <c r="BZ38" s="487"/>
      <c r="CA38" s="487"/>
      <c r="CB38" s="487"/>
      <c r="CC38" s="487"/>
      <c r="CD38" s="487"/>
      <c r="CE38" s="487"/>
      <c r="CF38" s="487"/>
      <c r="CG38" s="487"/>
      <c r="CH38" s="487"/>
      <c r="CI38" s="487"/>
      <c r="CJ38" s="487"/>
      <c r="CK38" s="487"/>
      <c r="CL38" s="487"/>
      <c r="CM38" s="487"/>
      <c r="CN38" s="487"/>
      <c r="CO38" s="487"/>
      <c r="CP38" s="487"/>
      <c r="CQ38" s="487"/>
      <c r="CR38" s="487"/>
      <c r="CS38" s="487"/>
      <c r="CT38" s="487"/>
      <c r="CU38" s="487"/>
      <c r="CV38" s="487"/>
      <c r="CW38" s="487"/>
      <c r="CX38" s="487"/>
      <c r="CY38" s="487"/>
      <c r="CZ38" s="487"/>
      <c r="DA38" s="487"/>
      <c r="DB38" s="487"/>
      <c r="DC38" s="487"/>
      <c r="DD38" s="487"/>
      <c r="DE38" s="487"/>
      <c r="DF38" s="487"/>
      <c r="DG38" s="487"/>
      <c r="DH38" s="487"/>
      <c r="DI38" s="487"/>
      <c r="DJ38" s="487"/>
      <c r="DK38" s="487"/>
      <c r="DL38" s="487"/>
      <c r="DM38" s="487"/>
      <c r="DN38" s="487"/>
      <c r="DO38" s="487"/>
      <c r="DP38" s="487"/>
    </row>
    <row r="39" spans="1:120" x14ac:dyDescent="0.25">
      <c r="A39" s="484"/>
      <c r="B39" s="441" t="s">
        <v>297</v>
      </c>
      <c r="C39" s="635" t="s">
        <v>19</v>
      </c>
      <c r="D39" s="653"/>
      <c r="E39" s="521"/>
      <c r="F39" s="521"/>
      <c r="G39" s="521"/>
      <c r="H39" s="521"/>
      <c r="I39" s="522"/>
      <c r="J39" s="486"/>
      <c r="K39" s="476"/>
      <c r="L39" s="487"/>
      <c r="M39" s="487"/>
      <c r="N39" s="487"/>
      <c r="O39" s="487"/>
      <c r="P39" s="654"/>
      <c r="Q39" s="654"/>
      <c r="R39" s="654"/>
      <c r="S39" s="654"/>
      <c r="T39" s="654"/>
      <c r="U39" s="487"/>
      <c r="V39" s="487"/>
      <c r="W39" s="487"/>
      <c r="X39" s="487"/>
      <c r="Y39" s="487"/>
      <c r="Z39" s="487"/>
      <c r="AA39" s="487"/>
      <c r="AB39" s="487"/>
      <c r="AC39" s="487"/>
      <c r="AD39" s="487"/>
      <c r="AE39" s="487"/>
      <c r="AF39" s="487"/>
      <c r="AG39" s="487"/>
      <c r="AH39" s="487"/>
      <c r="AI39" s="487"/>
      <c r="AJ39" s="487"/>
      <c r="AK39" s="487"/>
      <c r="AL39" s="487"/>
      <c r="AM39" s="487"/>
      <c r="AN39" s="487"/>
      <c r="AO39" s="487"/>
      <c r="AP39" s="487"/>
      <c r="AQ39" s="487"/>
      <c r="AR39" s="487"/>
      <c r="AS39" s="487"/>
      <c r="AT39" s="487"/>
      <c r="AU39" s="487"/>
      <c r="AV39" s="487"/>
      <c r="AW39" s="487"/>
      <c r="AX39" s="487"/>
      <c r="AY39" s="487"/>
      <c r="AZ39" s="487"/>
      <c r="BA39" s="487"/>
      <c r="BB39" s="487"/>
      <c r="BC39" s="487"/>
      <c r="BD39" s="487"/>
      <c r="BE39" s="487"/>
      <c r="BF39" s="487"/>
      <c r="BG39" s="487"/>
      <c r="BH39" s="487"/>
      <c r="BI39" s="487"/>
      <c r="BJ39" s="487"/>
      <c r="BK39" s="487"/>
      <c r="BL39" s="487"/>
      <c r="BM39" s="487"/>
      <c r="BN39" s="487"/>
      <c r="BO39" s="487"/>
      <c r="BP39" s="487"/>
      <c r="BQ39" s="487"/>
      <c r="BR39" s="487"/>
      <c r="BS39" s="487"/>
      <c r="BT39" s="487"/>
      <c r="BU39" s="487"/>
      <c r="BV39" s="487"/>
      <c r="BW39" s="487"/>
      <c r="BX39" s="487"/>
      <c r="BY39" s="487"/>
      <c r="BZ39" s="487"/>
      <c r="CA39" s="487"/>
      <c r="CB39" s="487"/>
      <c r="CC39" s="487"/>
      <c r="CD39" s="487"/>
      <c r="CE39" s="487"/>
      <c r="CF39" s="487"/>
      <c r="CG39" s="487"/>
      <c r="CH39" s="487"/>
      <c r="CI39" s="487"/>
      <c r="CJ39" s="487"/>
      <c r="CK39" s="487"/>
      <c r="CL39" s="487"/>
      <c r="CM39" s="487"/>
      <c r="CN39" s="487"/>
      <c r="CO39" s="487"/>
      <c r="CP39" s="487"/>
      <c r="CQ39" s="487"/>
      <c r="CR39" s="487"/>
      <c r="CS39" s="487"/>
      <c r="CT39" s="487"/>
      <c r="CU39" s="487"/>
      <c r="CV39" s="487"/>
      <c r="CW39" s="487"/>
      <c r="CX39" s="487"/>
      <c r="CY39" s="487"/>
      <c r="CZ39" s="487"/>
      <c r="DA39" s="487"/>
      <c r="DB39" s="487"/>
      <c r="DC39" s="487"/>
      <c r="DD39" s="487"/>
      <c r="DE39" s="487"/>
      <c r="DF39" s="487"/>
      <c r="DG39" s="487"/>
      <c r="DH39" s="487"/>
      <c r="DI39" s="487"/>
      <c r="DJ39" s="487"/>
      <c r="DK39" s="487"/>
      <c r="DL39" s="487"/>
      <c r="DM39" s="487"/>
      <c r="DN39" s="487"/>
      <c r="DO39" s="487"/>
      <c r="DP39" s="487"/>
    </row>
    <row r="40" spans="1:120" x14ac:dyDescent="0.25">
      <c r="A40" s="484"/>
      <c r="B40" s="441" t="s">
        <v>298</v>
      </c>
      <c r="C40" s="635" t="s">
        <v>19</v>
      </c>
      <c r="D40" s="653"/>
      <c r="E40" s="521"/>
      <c r="F40" s="521"/>
      <c r="G40" s="521"/>
      <c r="H40" s="521"/>
      <c r="I40" s="522"/>
      <c r="J40" s="486"/>
      <c r="K40" s="476"/>
      <c r="L40" s="487"/>
      <c r="M40" s="487"/>
      <c r="N40" s="487"/>
      <c r="O40" s="487"/>
      <c r="P40" s="654"/>
      <c r="Q40" s="654"/>
      <c r="R40" s="654"/>
      <c r="S40" s="654"/>
      <c r="T40" s="654"/>
      <c r="U40" s="487"/>
      <c r="V40" s="487"/>
      <c r="W40" s="487"/>
      <c r="X40" s="487"/>
      <c r="Y40" s="487"/>
      <c r="Z40" s="487"/>
      <c r="AA40" s="487"/>
      <c r="AB40" s="487"/>
      <c r="AC40" s="487"/>
      <c r="AD40" s="487"/>
      <c r="AE40" s="487"/>
      <c r="AF40" s="487"/>
      <c r="AG40" s="487"/>
      <c r="AH40" s="487"/>
      <c r="AI40" s="487"/>
      <c r="AJ40" s="487"/>
      <c r="AK40" s="487"/>
      <c r="AL40" s="487"/>
      <c r="AM40" s="487"/>
      <c r="AN40" s="487"/>
      <c r="AO40" s="487"/>
      <c r="AP40" s="487"/>
      <c r="AQ40" s="487"/>
      <c r="AR40" s="487"/>
      <c r="AS40" s="487"/>
      <c r="AT40" s="487"/>
      <c r="AU40" s="487"/>
      <c r="AV40" s="487"/>
      <c r="AW40" s="487"/>
      <c r="AX40" s="487"/>
      <c r="AY40" s="487"/>
      <c r="AZ40" s="487"/>
      <c r="BA40" s="487"/>
      <c r="BB40" s="487"/>
      <c r="BC40" s="487"/>
      <c r="BD40" s="487"/>
      <c r="BE40" s="487"/>
      <c r="BF40" s="487"/>
      <c r="BG40" s="487"/>
      <c r="BH40" s="487"/>
      <c r="BI40" s="487"/>
      <c r="BJ40" s="487"/>
      <c r="BK40" s="487"/>
      <c r="BL40" s="487"/>
      <c r="BM40" s="487"/>
      <c r="BN40" s="487"/>
      <c r="BO40" s="487"/>
      <c r="BP40" s="487"/>
      <c r="BQ40" s="487"/>
      <c r="BR40" s="487"/>
      <c r="BS40" s="487"/>
      <c r="BT40" s="487"/>
      <c r="BU40" s="487"/>
      <c r="BV40" s="487"/>
      <c r="BW40" s="487"/>
      <c r="BX40" s="487"/>
      <c r="BY40" s="487"/>
      <c r="BZ40" s="487"/>
      <c r="CA40" s="487"/>
      <c r="CB40" s="487"/>
      <c r="CC40" s="487"/>
      <c r="CD40" s="487"/>
      <c r="CE40" s="487"/>
      <c r="CF40" s="487"/>
      <c r="CG40" s="487"/>
      <c r="CH40" s="487"/>
      <c r="CI40" s="487"/>
      <c r="CJ40" s="487"/>
      <c r="CK40" s="487"/>
      <c r="CL40" s="487"/>
      <c r="CM40" s="487"/>
      <c r="CN40" s="487"/>
      <c r="CO40" s="487"/>
      <c r="CP40" s="487"/>
      <c r="CQ40" s="487"/>
      <c r="CR40" s="487"/>
      <c r="CS40" s="487"/>
      <c r="CT40" s="487"/>
      <c r="CU40" s="487"/>
      <c r="CV40" s="487"/>
      <c r="CW40" s="487"/>
      <c r="CX40" s="487"/>
      <c r="CY40" s="487"/>
      <c r="CZ40" s="487"/>
      <c r="DA40" s="487"/>
      <c r="DB40" s="487"/>
      <c r="DC40" s="487"/>
      <c r="DD40" s="487"/>
      <c r="DE40" s="487"/>
      <c r="DF40" s="487"/>
      <c r="DG40" s="487"/>
      <c r="DH40" s="487"/>
      <c r="DI40" s="487"/>
      <c r="DJ40" s="487"/>
      <c r="DK40" s="487"/>
      <c r="DL40" s="487"/>
      <c r="DM40" s="487"/>
      <c r="DN40" s="487"/>
      <c r="DO40" s="487"/>
      <c r="DP40" s="487"/>
    </row>
    <row r="41" spans="1:120" x14ac:dyDescent="0.25">
      <c r="A41" s="484"/>
      <c r="B41" s="441" t="s">
        <v>299</v>
      </c>
      <c r="C41" s="635"/>
      <c r="D41" s="653"/>
      <c r="E41" s="521"/>
      <c r="F41" s="521"/>
      <c r="G41" s="521"/>
      <c r="H41" s="521"/>
      <c r="I41" s="522"/>
      <c r="J41" s="486"/>
      <c r="K41" s="476"/>
      <c r="L41" s="487"/>
      <c r="M41" s="487"/>
      <c r="N41" s="487"/>
      <c r="O41" s="487"/>
      <c r="P41" s="654"/>
      <c r="Q41" s="654"/>
      <c r="R41" s="654"/>
      <c r="S41" s="654"/>
      <c r="T41" s="654"/>
      <c r="U41" s="487"/>
      <c r="V41" s="487"/>
      <c r="W41" s="487"/>
      <c r="X41" s="487"/>
      <c r="Y41" s="487"/>
      <c r="Z41" s="487"/>
      <c r="AA41" s="487"/>
      <c r="AB41" s="487"/>
      <c r="AC41" s="487"/>
      <c r="AD41" s="487"/>
      <c r="AE41" s="487"/>
      <c r="AF41" s="487"/>
      <c r="AG41" s="487"/>
      <c r="AH41" s="487"/>
      <c r="AI41" s="487"/>
      <c r="AJ41" s="487"/>
      <c r="AK41" s="487"/>
      <c r="AL41" s="487"/>
      <c r="AM41" s="487"/>
      <c r="AN41" s="487"/>
      <c r="AO41" s="487"/>
      <c r="AP41" s="487"/>
      <c r="AQ41" s="487"/>
      <c r="AR41" s="487"/>
      <c r="AS41" s="487"/>
      <c r="AT41" s="487"/>
      <c r="AU41" s="487"/>
      <c r="AV41" s="487"/>
      <c r="AW41" s="487"/>
      <c r="AX41" s="487"/>
      <c r="AY41" s="487"/>
      <c r="AZ41" s="487"/>
      <c r="BA41" s="487"/>
      <c r="BB41" s="487"/>
      <c r="BC41" s="487"/>
      <c r="BD41" s="487"/>
      <c r="BE41" s="487"/>
      <c r="BF41" s="487"/>
      <c r="BG41" s="487"/>
      <c r="BH41" s="487"/>
      <c r="BI41" s="487"/>
      <c r="BJ41" s="487"/>
      <c r="BK41" s="487"/>
      <c r="BL41" s="487"/>
      <c r="BM41" s="487"/>
      <c r="BN41" s="487"/>
      <c r="BO41" s="487"/>
      <c r="BP41" s="487"/>
      <c r="BQ41" s="487"/>
      <c r="BR41" s="487"/>
      <c r="BS41" s="487"/>
      <c r="BT41" s="487"/>
      <c r="BU41" s="487"/>
      <c r="BV41" s="487"/>
      <c r="BW41" s="487"/>
      <c r="BX41" s="487"/>
      <c r="BY41" s="487"/>
      <c r="BZ41" s="487"/>
      <c r="CA41" s="487"/>
      <c r="CB41" s="487"/>
      <c r="CC41" s="487"/>
      <c r="CD41" s="487"/>
      <c r="CE41" s="487"/>
      <c r="CF41" s="487"/>
      <c r="CG41" s="487"/>
      <c r="CH41" s="487"/>
      <c r="CI41" s="487"/>
      <c r="CJ41" s="487"/>
      <c r="CK41" s="487"/>
      <c r="CL41" s="487"/>
      <c r="CM41" s="487"/>
      <c r="CN41" s="487"/>
      <c r="CO41" s="487"/>
      <c r="CP41" s="487"/>
      <c r="CQ41" s="487"/>
      <c r="CR41" s="487"/>
      <c r="CS41" s="487"/>
      <c r="CT41" s="487"/>
      <c r="CU41" s="487"/>
      <c r="CV41" s="487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</row>
    <row r="42" spans="1:120" ht="13" x14ac:dyDescent="0.25">
      <c r="A42" s="484"/>
      <c r="B42" s="655" t="s">
        <v>89</v>
      </c>
      <c r="C42" s="656" t="s">
        <v>19</v>
      </c>
      <c r="D42" s="657"/>
      <c r="E42" s="630">
        <f>SUM(E37:E40)</f>
        <v>0</v>
      </c>
      <c r="F42" s="630">
        <f>SUM(F37:F40)</f>
        <v>0</v>
      </c>
      <c r="G42" s="630">
        <f>SUM(G37:G40)</f>
        <v>0</v>
      </c>
      <c r="H42" s="630">
        <f>SUM(H37:H40)</f>
        <v>0</v>
      </c>
      <c r="I42" s="631">
        <f>SUM(I37:I40)</f>
        <v>0</v>
      </c>
      <c r="J42" s="486"/>
      <c r="K42" s="476"/>
      <c r="L42" s="487"/>
      <c r="M42" s="487"/>
      <c r="N42" s="487"/>
      <c r="O42" s="487"/>
      <c r="P42" s="487"/>
      <c r="Q42" s="487"/>
      <c r="R42" s="487"/>
      <c r="S42" s="487"/>
      <c r="T42" s="487"/>
      <c r="U42" s="487"/>
      <c r="V42" s="487"/>
      <c r="W42" s="487"/>
      <c r="X42" s="487"/>
      <c r="Y42" s="487"/>
      <c r="Z42" s="487"/>
      <c r="AA42" s="487"/>
      <c r="AB42" s="487"/>
      <c r="AC42" s="487"/>
      <c r="AD42" s="487"/>
      <c r="AE42" s="487"/>
      <c r="AF42" s="487"/>
      <c r="AG42" s="487"/>
      <c r="AH42" s="487"/>
      <c r="AI42" s="487"/>
      <c r="AJ42" s="487"/>
      <c r="AK42" s="487"/>
      <c r="AL42" s="487"/>
      <c r="AM42" s="487"/>
      <c r="AN42" s="487"/>
      <c r="AO42" s="487"/>
      <c r="AP42" s="487"/>
      <c r="AQ42" s="487"/>
      <c r="AR42" s="487"/>
      <c r="AS42" s="487"/>
      <c r="AT42" s="487"/>
      <c r="AU42" s="487"/>
      <c r="AV42" s="487"/>
      <c r="AW42" s="487"/>
      <c r="AX42" s="487"/>
      <c r="AY42" s="487"/>
      <c r="AZ42" s="487"/>
      <c r="BA42" s="487"/>
      <c r="BB42" s="487"/>
      <c r="BC42" s="487"/>
      <c r="BD42" s="487"/>
      <c r="BE42" s="487"/>
      <c r="BF42" s="487"/>
      <c r="BG42" s="487"/>
      <c r="BH42" s="487"/>
      <c r="BI42" s="487"/>
      <c r="BJ42" s="487"/>
      <c r="BK42" s="487"/>
      <c r="BL42" s="487"/>
      <c r="BM42" s="487"/>
      <c r="BN42" s="487"/>
      <c r="BO42" s="487"/>
      <c r="BP42" s="487"/>
      <c r="BQ42" s="487"/>
      <c r="BR42" s="487"/>
      <c r="BS42" s="487"/>
      <c r="BT42" s="487"/>
      <c r="BU42" s="487"/>
      <c r="BV42" s="487"/>
      <c r="BW42" s="487"/>
      <c r="BX42" s="487"/>
      <c r="BY42" s="487"/>
      <c r="BZ42" s="487"/>
      <c r="CA42" s="487"/>
      <c r="CB42" s="487"/>
      <c r="CC42" s="487"/>
      <c r="CD42" s="487"/>
      <c r="CE42" s="487"/>
      <c r="CF42" s="487"/>
      <c r="CG42" s="487"/>
      <c r="CH42" s="487"/>
      <c r="CI42" s="487"/>
      <c r="CJ42" s="487"/>
      <c r="CK42" s="487"/>
      <c r="CL42" s="487"/>
      <c r="CM42" s="487"/>
      <c r="CN42" s="487"/>
      <c r="CO42" s="487"/>
      <c r="CP42" s="487"/>
      <c r="CQ42" s="487"/>
      <c r="CR42" s="487"/>
      <c r="CS42" s="487"/>
      <c r="CT42" s="487"/>
      <c r="CU42" s="487"/>
      <c r="CV42" s="487"/>
      <c r="CW42" s="487"/>
      <c r="CX42" s="487"/>
      <c r="CY42" s="487"/>
      <c r="CZ42" s="487"/>
      <c r="DA42" s="487"/>
      <c r="DB42" s="487"/>
      <c r="DC42" s="487"/>
      <c r="DD42" s="487"/>
      <c r="DE42" s="487"/>
      <c r="DF42" s="487"/>
      <c r="DG42" s="487"/>
      <c r="DH42" s="487"/>
      <c r="DI42" s="487"/>
      <c r="DJ42" s="487"/>
      <c r="DK42" s="487"/>
      <c r="DL42" s="487"/>
      <c r="DM42" s="487"/>
      <c r="DN42" s="487"/>
      <c r="DO42" s="487"/>
      <c r="DP42" s="487"/>
    </row>
    <row r="43" spans="1:120" ht="14.25" customHeight="1" x14ac:dyDescent="0.25">
      <c r="A43" s="484"/>
      <c r="B43" s="441"/>
      <c r="C43" s="635"/>
      <c r="D43" s="637"/>
      <c r="E43" s="521"/>
      <c r="F43" s="521"/>
      <c r="G43" s="521"/>
      <c r="H43" s="521"/>
      <c r="I43" s="522"/>
      <c r="J43" s="486"/>
      <c r="K43" s="476"/>
      <c r="L43" s="487"/>
      <c r="M43" s="487"/>
      <c r="N43" s="487"/>
      <c r="O43" s="487"/>
      <c r="P43" s="487"/>
      <c r="Q43" s="487"/>
      <c r="R43" s="487"/>
      <c r="S43" s="487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7"/>
      <c r="AH43" s="487"/>
      <c r="AI43" s="487"/>
      <c r="AJ43" s="487"/>
      <c r="AK43" s="487"/>
      <c r="AL43" s="487"/>
      <c r="AM43" s="487"/>
      <c r="AN43" s="487"/>
      <c r="AO43" s="487"/>
      <c r="AP43" s="487"/>
      <c r="AQ43" s="487"/>
      <c r="AR43" s="487"/>
      <c r="AS43" s="487"/>
      <c r="AT43" s="487"/>
      <c r="AU43" s="487"/>
      <c r="AV43" s="487"/>
      <c r="AW43" s="487"/>
      <c r="AX43" s="487"/>
      <c r="AY43" s="487"/>
      <c r="AZ43" s="487"/>
      <c r="BA43" s="487"/>
      <c r="BB43" s="487"/>
      <c r="BC43" s="487"/>
      <c r="BD43" s="487"/>
      <c r="BE43" s="487"/>
      <c r="BF43" s="487"/>
      <c r="BG43" s="487"/>
      <c r="BH43" s="487"/>
      <c r="BI43" s="487"/>
      <c r="BJ43" s="487"/>
      <c r="BK43" s="487"/>
      <c r="BL43" s="487"/>
      <c r="BM43" s="487"/>
      <c r="BN43" s="487"/>
      <c r="BO43" s="487"/>
      <c r="BP43" s="487"/>
      <c r="BQ43" s="487"/>
      <c r="BR43" s="487"/>
      <c r="BS43" s="487"/>
      <c r="BT43" s="487"/>
      <c r="BU43" s="487"/>
      <c r="BV43" s="487"/>
      <c r="BW43" s="487"/>
      <c r="BX43" s="487"/>
      <c r="BY43" s="487"/>
      <c r="BZ43" s="487"/>
      <c r="CA43" s="487"/>
      <c r="CB43" s="487"/>
      <c r="CC43" s="487"/>
      <c r="CD43" s="487"/>
      <c r="CE43" s="487"/>
      <c r="CF43" s="487"/>
      <c r="CG43" s="487"/>
      <c r="CH43" s="487"/>
      <c r="CI43" s="487"/>
      <c r="CJ43" s="487"/>
      <c r="CK43" s="487"/>
      <c r="CL43" s="487"/>
      <c r="CM43" s="487"/>
      <c r="CN43" s="487"/>
      <c r="CO43" s="487"/>
      <c r="CP43" s="487"/>
      <c r="CQ43" s="487"/>
      <c r="CR43" s="487"/>
      <c r="CS43" s="487"/>
      <c r="CT43" s="487"/>
      <c r="CU43" s="487"/>
      <c r="CV43" s="487"/>
      <c r="CW43" s="487"/>
      <c r="CX43" s="487"/>
      <c r="CY43" s="487"/>
      <c r="CZ43" s="487"/>
      <c r="DA43" s="487"/>
      <c r="DB43" s="487"/>
      <c r="DC43" s="487"/>
      <c r="DD43" s="487"/>
      <c r="DE43" s="487"/>
      <c r="DF43" s="487"/>
      <c r="DG43" s="487"/>
      <c r="DH43" s="487"/>
      <c r="DI43" s="487"/>
      <c r="DJ43" s="487"/>
      <c r="DK43" s="487"/>
      <c r="DL43" s="487"/>
      <c r="DM43" s="487"/>
      <c r="DN43" s="487"/>
      <c r="DO43" s="487"/>
      <c r="DP43" s="487"/>
    </row>
    <row r="44" spans="1:120" ht="14.25" customHeight="1" x14ac:dyDescent="0.25">
      <c r="A44" s="484"/>
      <c r="B44" s="642" t="s">
        <v>305</v>
      </c>
      <c r="C44" s="658"/>
      <c r="D44" s="659"/>
      <c r="E44" s="521"/>
      <c r="F44" s="521"/>
      <c r="G44" s="521"/>
      <c r="H44" s="521"/>
      <c r="I44" s="522"/>
      <c r="J44" s="486"/>
      <c r="K44" s="476"/>
      <c r="L44" s="487"/>
      <c r="M44" s="487"/>
      <c r="N44" s="487"/>
      <c r="O44" s="487"/>
      <c r="P44" s="487"/>
      <c r="Q44" s="487"/>
      <c r="R44" s="487"/>
      <c r="S44" s="487"/>
      <c r="T44" s="487"/>
      <c r="U44" s="487"/>
      <c r="V44" s="487"/>
      <c r="W44" s="487"/>
      <c r="X44" s="487"/>
      <c r="Y44" s="487"/>
      <c r="Z44" s="487"/>
      <c r="AA44" s="487"/>
      <c r="AB44" s="487"/>
      <c r="AC44" s="487"/>
      <c r="AD44" s="487"/>
      <c r="AE44" s="487"/>
      <c r="AF44" s="487"/>
      <c r="AG44" s="487"/>
      <c r="AH44" s="487"/>
      <c r="AI44" s="487"/>
      <c r="AJ44" s="487"/>
      <c r="AK44" s="487"/>
      <c r="AL44" s="487"/>
      <c r="AM44" s="487"/>
      <c r="AN44" s="487"/>
      <c r="AO44" s="487"/>
      <c r="AP44" s="487"/>
      <c r="AQ44" s="487"/>
      <c r="AR44" s="487"/>
      <c r="AS44" s="487"/>
      <c r="AT44" s="487"/>
      <c r="AU44" s="487"/>
      <c r="AV44" s="487"/>
      <c r="AW44" s="487"/>
      <c r="AX44" s="487"/>
      <c r="AY44" s="487"/>
      <c r="AZ44" s="487"/>
      <c r="BA44" s="487"/>
      <c r="BB44" s="487"/>
      <c r="BC44" s="487"/>
      <c r="BD44" s="487"/>
      <c r="BE44" s="487"/>
      <c r="BF44" s="487"/>
      <c r="BG44" s="487"/>
      <c r="BH44" s="487"/>
      <c r="BI44" s="487"/>
      <c r="BJ44" s="487"/>
      <c r="BK44" s="487"/>
      <c r="BL44" s="487"/>
      <c r="BM44" s="487"/>
      <c r="BN44" s="487"/>
      <c r="BO44" s="487"/>
      <c r="BP44" s="487"/>
      <c r="BQ44" s="487"/>
      <c r="BR44" s="487"/>
      <c r="BS44" s="487"/>
      <c r="BT44" s="487"/>
      <c r="BU44" s="487"/>
      <c r="BV44" s="487"/>
      <c r="BW44" s="487"/>
      <c r="BX44" s="487"/>
      <c r="BY44" s="487"/>
      <c r="BZ44" s="487"/>
      <c r="CA44" s="487"/>
      <c r="CB44" s="487"/>
      <c r="CC44" s="487"/>
      <c r="CD44" s="487"/>
      <c r="CE44" s="487"/>
      <c r="CF44" s="487"/>
      <c r="CG44" s="487"/>
      <c r="CH44" s="487"/>
      <c r="CI44" s="487"/>
      <c r="CJ44" s="487"/>
      <c r="CK44" s="487"/>
      <c r="CL44" s="487"/>
      <c r="CM44" s="487"/>
      <c r="CN44" s="487"/>
      <c r="CO44" s="487"/>
      <c r="CP44" s="487"/>
      <c r="CQ44" s="487"/>
      <c r="CR44" s="487"/>
      <c r="CS44" s="487"/>
      <c r="CT44" s="487"/>
      <c r="CU44" s="487"/>
      <c r="CV44" s="487"/>
      <c r="CW44" s="487"/>
      <c r="CX44" s="487"/>
      <c r="CY44" s="487"/>
      <c r="CZ44" s="487"/>
      <c r="DA44" s="487"/>
      <c r="DB44" s="487"/>
      <c r="DC44" s="487"/>
      <c r="DD44" s="487"/>
      <c r="DE44" s="487"/>
      <c r="DF44" s="487"/>
      <c r="DG44" s="487"/>
      <c r="DH44" s="487"/>
      <c r="DI44" s="487"/>
      <c r="DJ44" s="487"/>
      <c r="DK44" s="487"/>
      <c r="DL44" s="487"/>
      <c r="DM44" s="487"/>
      <c r="DN44" s="487"/>
      <c r="DO44" s="487"/>
      <c r="DP44" s="487"/>
    </row>
    <row r="45" spans="1:120" ht="14.25" customHeight="1" x14ac:dyDescent="0.25">
      <c r="A45" s="484"/>
      <c r="B45" s="441" t="s">
        <v>295</v>
      </c>
      <c r="C45" s="524"/>
      <c r="D45" s="523"/>
      <c r="E45" s="660"/>
      <c r="F45" s="660"/>
      <c r="G45" s="660"/>
      <c r="H45" s="660"/>
      <c r="I45" s="661"/>
      <c r="J45" s="486"/>
      <c r="K45" s="476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487"/>
      <c r="AJ45" s="487"/>
      <c r="AK45" s="487"/>
      <c r="AL45" s="487"/>
      <c r="AM45" s="487"/>
      <c r="AN45" s="487"/>
      <c r="AO45" s="487"/>
      <c r="AP45" s="487"/>
      <c r="AQ45" s="487"/>
      <c r="AR45" s="487"/>
      <c r="AS45" s="487"/>
      <c r="AT45" s="487"/>
      <c r="AU45" s="487"/>
      <c r="AV45" s="487"/>
      <c r="AW45" s="487"/>
      <c r="AX45" s="487"/>
      <c r="AY45" s="487"/>
      <c r="AZ45" s="487"/>
      <c r="BA45" s="487"/>
      <c r="BB45" s="487"/>
      <c r="BC45" s="487"/>
      <c r="BD45" s="487"/>
      <c r="BE45" s="487"/>
      <c r="BF45" s="487"/>
      <c r="BG45" s="487"/>
      <c r="BH45" s="487"/>
      <c r="BI45" s="487"/>
      <c r="BJ45" s="487"/>
      <c r="BK45" s="487"/>
      <c r="BL45" s="487"/>
      <c r="BM45" s="487"/>
      <c r="BN45" s="487"/>
      <c r="BO45" s="487"/>
      <c r="BP45" s="487"/>
      <c r="BQ45" s="487"/>
      <c r="BR45" s="487"/>
      <c r="BS45" s="487"/>
      <c r="BT45" s="487"/>
      <c r="BU45" s="487"/>
      <c r="BV45" s="487"/>
      <c r="BW45" s="487"/>
      <c r="BX45" s="487"/>
      <c r="BY45" s="487"/>
      <c r="BZ45" s="487"/>
      <c r="CA45" s="487"/>
      <c r="CB45" s="487"/>
      <c r="CC45" s="487"/>
      <c r="CD45" s="487"/>
      <c r="CE45" s="487"/>
      <c r="CF45" s="487"/>
      <c r="CG45" s="487"/>
      <c r="CH45" s="487"/>
      <c r="CI45" s="487"/>
      <c r="CJ45" s="487"/>
      <c r="CK45" s="487"/>
      <c r="CL45" s="487"/>
      <c r="CM45" s="487"/>
      <c r="CN45" s="487"/>
      <c r="CO45" s="487"/>
      <c r="CP45" s="487"/>
      <c r="CQ45" s="487"/>
      <c r="CR45" s="487"/>
      <c r="CS45" s="487"/>
      <c r="CT45" s="487"/>
      <c r="CU45" s="487"/>
      <c r="CV45" s="487"/>
      <c r="CW45" s="487"/>
      <c r="CX45" s="487"/>
      <c r="CY45" s="487"/>
      <c r="CZ45" s="487"/>
      <c r="DA45" s="487"/>
      <c r="DB45" s="487"/>
      <c r="DC45" s="487"/>
      <c r="DD45" s="487"/>
      <c r="DE45" s="487"/>
      <c r="DF45" s="487"/>
      <c r="DG45" s="487"/>
      <c r="DH45" s="487"/>
      <c r="DI45" s="487"/>
      <c r="DJ45" s="487"/>
      <c r="DK45" s="487"/>
      <c r="DL45" s="487"/>
      <c r="DM45" s="487"/>
      <c r="DN45" s="487"/>
      <c r="DO45" s="487"/>
      <c r="DP45" s="487"/>
    </row>
    <row r="46" spans="1:120" ht="14.25" customHeight="1" x14ac:dyDescent="0.25">
      <c r="A46" s="484"/>
      <c r="B46" s="441" t="s">
        <v>296</v>
      </c>
      <c r="C46" s="524"/>
      <c r="D46" s="523"/>
      <c r="E46" s="660"/>
      <c r="F46" s="660"/>
      <c r="G46" s="660"/>
      <c r="H46" s="660"/>
      <c r="I46" s="661"/>
      <c r="J46" s="486"/>
      <c r="K46" s="476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487"/>
      <c r="AJ46" s="487"/>
      <c r="AK46" s="487"/>
      <c r="AL46" s="487"/>
      <c r="AM46" s="487"/>
      <c r="AN46" s="487"/>
      <c r="AO46" s="487"/>
      <c r="AP46" s="487"/>
      <c r="AQ46" s="487"/>
      <c r="AR46" s="487"/>
      <c r="AS46" s="487"/>
      <c r="AT46" s="487"/>
      <c r="AU46" s="487"/>
      <c r="AV46" s="487"/>
      <c r="AW46" s="487"/>
      <c r="AX46" s="487"/>
      <c r="AY46" s="487"/>
      <c r="AZ46" s="487"/>
      <c r="BA46" s="487"/>
      <c r="BB46" s="487"/>
      <c r="BC46" s="487"/>
      <c r="BD46" s="487"/>
      <c r="BE46" s="487"/>
      <c r="BF46" s="487"/>
      <c r="BG46" s="487"/>
      <c r="BH46" s="487"/>
      <c r="BI46" s="487"/>
      <c r="BJ46" s="487"/>
      <c r="BK46" s="487"/>
      <c r="BL46" s="487"/>
      <c r="BM46" s="487"/>
      <c r="BN46" s="487"/>
      <c r="BO46" s="487"/>
      <c r="BP46" s="487"/>
      <c r="BQ46" s="487"/>
      <c r="BR46" s="487"/>
      <c r="BS46" s="487"/>
      <c r="BT46" s="487"/>
      <c r="BU46" s="487"/>
      <c r="BV46" s="487"/>
      <c r="BW46" s="487"/>
      <c r="BX46" s="487"/>
      <c r="BY46" s="487"/>
      <c r="BZ46" s="487"/>
      <c r="CA46" s="487"/>
      <c r="CB46" s="487"/>
      <c r="CC46" s="487"/>
      <c r="CD46" s="487"/>
      <c r="CE46" s="487"/>
      <c r="CF46" s="487"/>
      <c r="CG46" s="487"/>
      <c r="CH46" s="487"/>
      <c r="CI46" s="487"/>
      <c r="CJ46" s="487"/>
      <c r="CK46" s="487"/>
      <c r="CL46" s="487"/>
      <c r="CM46" s="487"/>
      <c r="CN46" s="487"/>
      <c r="CO46" s="487"/>
      <c r="CP46" s="487"/>
      <c r="CQ46" s="487"/>
      <c r="CR46" s="487"/>
      <c r="CS46" s="487"/>
      <c r="CT46" s="487"/>
      <c r="CU46" s="487"/>
      <c r="CV46" s="487"/>
      <c r="CW46" s="487"/>
      <c r="CX46" s="487"/>
      <c r="CY46" s="487"/>
      <c r="CZ46" s="487"/>
      <c r="DA46" s="487"/>
      <c r="DB46" s="487"/>
      <c r="DC46" s="487"/>
      <c r="DD46" s="487"/>
      <c r="DE46" s="487"/>
      <c r="DF46" s="487"/>
      <c r="DG46" s="487"/>
      <c r="DH46" s="487"/>
      <c r="DI46" s="487"/>
      <c r="DJ46" s="487"/>
      <c r="DK46" s="487"/>
      <c r="DL46" s="487"/>
      <c r="DM46" s="487"/>
      <c r="DN46" s="487"/>
      <c r="DO46" s="487"/>
      <c r="DP46" s="487"/>
    </row>
    <row r="47" spans="1:120" ht="14.25" customHeight="1" x14ac:dyDescent="0.25">
      <c r="A47" s="484"/>
      <c r="B47" s="441" t="s">
        <v>297</v>
      </c>
      <c r="C47" s="524"/>
      <c r="D47" s="523"/>
      <c r="E47" s="660"/>
      <c r="F47" s="660"/>
      <c r="G47" s="660"/>
      <c r="H47" s="660"/>
      <c r="I47" s="661"/>
      <c r="J47" s="486"/>
      <c r="K47" s="476"/>
      <c r="L47" s="487"/>
      <c r="M47" s="487"/>
      <c r="N47" s="487"/>
      <c r="O47" s="487"/>
      <c r="P47" s="487"/>
      <c r="Q47" s="487"/>
      <c r="R47" s="487"/>
      <c r="S47" s="487"/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487"/>
      <c r="AJ47" s="487"/>
      <c r="AK47" s="487"/>
      <c r="AL47" s="487"/>
      <c r="AM47" s="487"/>
      <c r="AN47" s="487"/>
      <c r="AO47" s="487"/>
      <c r="AP47" s="487"/>
      <c r="AQ47" s="487"/>
      <c r="AR47" s="487"/>
      <c r="AS47" s="487"/>
      <c r="AT47" s="487"/>
      <c r="AU47" s="487"/>
      <c r="AV47" s="487"/>
      <c r="AW47" s="487"/>
      <c r="AX47" s="487"/>
      <c r="AY47" s="487"/>
      <c r="AZ47" s="487"/>
      <c r="BA47" s="487"/>
      <c r="BB47" s="487"/>
      <c r="BC47" s="487"/>
      <c r="BD47" s="487"/>
      <c r="BE47" s="487"/>
      <c r="BF47" s="487"/>
      <c r="BG47" s="487"/>
      <c r="BH47" s="487"/>
      <c r="BI47" s="487"/>
      <c r="BJ47" s="487"/>
      <c r="BK47" s="487"/>
      <c r="BL47" s="487"/>
      <c r="BM47" s="487"/>
      <c r="BN47" s="487"/>
      <c r="BO47" s="487"/>
      <c r="BP47" s="487"/>
      <c r="BQ47" s="487"/>
      <c r="BR47" s="487"/>
      <c r="BS47" s="487"/>
      <c r="BT47" s="487"/>
      <c r="BU47" s="487"/>
      <c r="BV47" s="487"/>
      <c r="BW47" s="487"/>
      <c r="BX47" s="487"/>
      <c r="BY47" s="487"/>
      <c r="BZ47" s="487"/>
      <c r="CA47" s="487"/>
      <c r="CB47" s="487"/>
      <c r="CC47" s="487"/>
      <c r="CD47" s="487"/>
      <c r="CE47" s="487"/>
      <c r="CF47" s="487"/>
      <c r="CG47" s="487"/>
      <c r="CH47" s="487"/>
      <c r="CI47" s="487"/>
      <c r="CJ47" s="487"/>
      <c r="CK47" s="487"/>
      <c r="CL47" s="487"/>
      <c r="CM47" s="487"/>
      <c r="CN47" s="487"/>
      <c r="CO47" s="487"/>
      <c r="CP47" s="487"/>
      <c r="CQ47" s="487"/>
      <c r="CR47" s="487"/>
      <c r="CS47" s="487"/>
      <c r="CT47" s="487"/>
      <c r="CU47" s="487"/>
      <c r="CV47" s="487"/>
      <c r="CW47" s="487"/>
      <c r="CX47" s="487"/>
      <c r="CY47" s="487"/>
      <c r="CZ47" s="487"/>
      <c r="DA47" s="487"/>
      <c r="DB47" s="487"/>
      <c r="DC47" s="487"/>
      <c r="DD47" s="487"/>
      <c r="DE47" s="487"/>
      <c r="DF47" s="487"/>
      <c r="DG47" s="487"/>
      <c r="DH47" s="487"/>
      <c r="DI47" s="487"/>
      <c r="DJ47" s="487"/>
      <c r="DK47" s="487"/>
      <c r="DL47" s="487"/>
      <c r="DM47" s="487"/>
      <c r="DN47" s="487"/>
      <c r="DO47" s="487"/>
      <c r="DP47" s="487"/>
    </row>
    <row r="48" spans="1:120" ht="14.25" customHeight="1" x14ac:dyDescent="0.25">
      <c r="A48" s="484"/>
      <c r="B48" s="441" t="s">
        <v>298</v>
      </c>
      <c r="C48" s="524"/>
      <c r="D48" s="523"/>
      <c r="E48" s="662"/>
      <c r="F48" s="660"/>
      <c r="G48" s="660"/>
      <c r="H48" s="660"/>
      <c r="I48" s="661"/>
      <c r="J48" s="486"/>
      <c r="K48" s="476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7"/>
      <c r="AI48" s="487"/>
      <c r="AJ48" s="487"/>
      <c r="AK48" s="487"/>
      <c r="AL48" s="487"/>
      <c r="AM48" s="487"/>
      <c r="AN48" s="487"/>
      <c r="AO48" s="487"/>
      <c r="AP48" s="487"/>
      <c r="AQ48" s="487"/>
      <c r="AR48" s="487"/>
      <c r="AS48" s="487"/>
      <c r="AT48" s="487"/>
      <c r="AU48" s="487"/>
      <c r="AV48" s="487"/>
      <c r="AW48" s="487"/>
      <c r="AX48" s="487"/>
      <c r="AY48" s="487"/>
      <c r="AZ48" s="487"/>
      <c r="BA48" s="487"/>
      <c r="BB48" s="487"/>
      <c r="BC48" s="487"/>
      <c r="BD48" s="487"/>
      <c r="BE48" s="487"/>
      <c r="BF48" s="487"/>
      <c r="BG48" s="487"/>
      <c r="BH48" s="487"/>
      <c r="BI48" s="487"/>
      <c r="BJ48" s="487"/>
      <c r="BK48" s="487"/>
      <c r="BL48" s="487"/>
      <c r="BM48" s="487"/>
      <c r="BN48" s="487"/>
      <c r="BO48" s="487"/>
      <c r="BP48" s="487"/>
      <c r="BQ48" s="487"/>
      <c r="BR48" s="487"/>
      <c r="BS48" s="487"/>
      <c r="BT48" s="487"/>
      <c r="BU48" s="487"/>
      <c r="BV48" s="487"/>
      <c r="BW48" s="487"/>
      <c r="BX48" s="487"/>
      <c r="BY48" s="487"/>
      <c r="BZ48" s="487"/>
      <c r="CA48" s="487"/>
      <c r="CB48" s="487"/>
      <c r="CC48" s="487"/>
      <c r="CD48" s="487"/>
      <c r="CE48" s="487"/>
      <c r="CF48" s="487"/>
      <c r="CG48" s="487"/>
      <c r="CH48" s="487"/>
      <c r="CI48" s="487"/>
      <c r="CJ48" s="487"/>
      <c r="CK48" s="487"/>
      <c r="CL48" s="487"/>
      <c r="CM48" s="487"/>
      <c r="CN48" s="487"/>
      <c r="CO48" s="487"/>
      <c r="CP48" s="487"/>
      <c r="CQ48" s="487"/>
      <c r="CR48" s="487"/>
      <c r="CS48" s="487"/>
      <c r="CT48" s="487"/>
      <c r="CU48" s="487"/>
      <c r="CV48" s="487"/>
      <c r="CW48" s="487"/>
      <c r="CX48" s="487"/>
      <c r="CY48" s="487"/>
      <c r="CZ48" s="487"/>
      <c r="DA48" s="487"/>
      <c r="DB48" s="487"/>
      <c r="DC48" s="487"/>
      <c r="DD48" s="487"/>
      <c r="DE48" s="487"/>
      <c r="DF48" s="487"/>
      <c r="DG48" s="487"/>
      <c r="DH48" s="487"/>
      <c r="DI48" s="487"/>
      <c r="DJ48" s="487"/>
      <c r="DK48" s="487"/>
      <c r="DL48" s="487"/>
      <c r="DM48" s="487"/>
      <c r="DN48" s="487"/>
      <c r="DO48" s="487"/>
      <c r="DP48" s="487"/>
    </row>
    <row r="49" spans="1:120" ht="14.25" customHeight="1" x14ac:dyDescent="0.25">
      <c r="A49" s="484"/>
      <c r="B49" s="441" t="s">
        <v>299</v>
      </c>
      <c r="C49" s="524"/>
      <c r="D49" s="523"/>
      <c r="E49" s="662"/>
      <c r="F49" s="660"/>
      <c r="G49" s="660"/>
      <c r="H49" s="660"/>
      <c r="I49" s="661"/>
      <c r="J49" s="486"/>
      <c r="K49" s="476"/>
      <c r="L49" s="487"/>
      <c r="M49" s="487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7"/>
      <c r="Y49" s="487"/>
      <c r="Z49" s="487"/>
      <c r="AA49" s="487"/>
      <c r="AB49" s="487"/>
      <c r="AC49" s="487"/>
      <c r="AD49" s="487"/>
      <c r="AE49" s="487"/>
      <c r="AF49" s="487"/>
      <c r="AG49" s="487"/>
      <c r="AH49" s="487"/>
      <c r="AI49" s="487"/>
      <c r="AJ49" s="487"/>
      <c r="AK49" s="487"/>
      <c r="AL49" s="487"/>
      <c r="AM49" s="487"/>
      <c r="AN49" s="487"/>
      <c r="AO49" s="487"/>
      <c r="AP49" s="487"/>
      <c r="AQ49" s="487"/>
      <c r="AR49" s="487"/>
      <c r="AS49" s="487"/>
      <c r="AT49" s="487"/>
      <c r="AU49" s="487"/>
      <c r="AV49" s="487"/>
      <c r="AW49" s="487"/>
      <c r="AX49" s="487"/>
      <c r="AY49" s="487"/>
      <c r="AZ49" s="487"/>
      <c r="BA49" s="487"/>
      <c r="BB49" s="487"/>
      <c r="BC49" s="487"/>
      <c r="BD49" s="487"/>
      <c r="BE49" s="487"/>
      <c r="BF49" s="487"/>
      <c r="BG49" s="487"/>
      <c r="BH49" s="487"/>
      <c r="BI49" s="487"/>
      <c r="BJ49" s="487"/>
      <c r="BK49" s="487"/>
      <c r="BL49" s="487"/>
      <c r="BM49" s="487"/>
      <c r="BN49" s="487"/>
      <c r="BO49" s="487"/>
      <c r="BP49" s="487"/>
      <c r="BQ49" s="487"/>
      <c r="BR49" s="487"/>
      <c r="BS49" s="487"/>
      <c r="BT49" s="487"/>
      <c r="BU49" s="487"/>
      <c r="BV49" s="487"/>
      <c r="BW49" s="487"/>
      <c r="BX49" s="487"/>
      <c r="BY49" s="487"/>
      <c r="BZ49" s="487"/>
      <c r="CA49" s="487"/>
      <c r="CB49" s="487"/>
      <c r="CC49" s="487"/>
      <c r="CD49" s="487"/>
      <c r="CE49" s="487"/>
      <c r="CF49" s="487"/>
      <c r="CG49" s="487"/>
      <c r="CH49" s="487"/>
      <c r="CI49" s="487"/>
      <c r="CJ49" s="487"/>
      <c r="CK49" s="487"/>
      <c r="CL49" s="487"/>
      <c r="CM49" s="487"/>
      <c r="CN49" s="487"/>
      <c r="CO49" s="487"/>
      <c r="CP49" s="487"/>
      <c r="CQ49" s="487"/>
      <c r="CR49" s="487"/>
      <c r="CS49" s="487"/>
      <c r="CT49" s="487"/>
      <c r="CU49" s="487"/>
      <c r="CV49" s="487"/>
      <c r="CW49" s="487"/>
      <c r="CX49" s="487"/>
      <c r="CY49" s="487"/>
      <c r="CZ49" s="487"/>
      <c r="DA49" s="487"/>
      <c r="DB49" s="487"/>
      <c r="DC49" s="487"/>
      <c r="DD49" s="487"/>
      <c r="DE49" s="487"/>
      <c r="DF49" s="487"/>
      <c r="DG49" s="487"/>
      <c r="DH49" s="487"/>
      <c r="DI49" s="487"/>
      <c r="DJ49" s="487"/>
      <c r="DK49" s="487"/>
      <c r="DL49" s="487"/>
      <c r="DM49" s="487"/>
      <c r="DN49" s="487"/>
      <c r="DO49" s="487"/>
      <c r="DP49" s="487"/>
    </row>
    <row r="50" spans="1:120" ht="14.25" customHeight="1" x14ac:dyDescent="0.25">
      <c r="A50" s="484"/>
      <c r="B50" s="655" t="s">
        <v>16</v>
      </c>
      <c r="C50" s="663"/>
      <c r="D50" s="516"/>
      <c r="E50" s="664">
        <f>SUM(E45:E49)</f>
        <v>0</v>
      </c>
      <c r="F50" s="664">
        <f>SUM(F45:F49)</f>
        <v>0</v>
      </c>
      <c r="G50" s="664">
        <f>SUM(G45:G49)</f>
        <v>0</v>
      </c>
      <c r="H50" s="651">
        <f>SUM(H45:H49)</f>
        <v>0</v>
      </c>
      <c r="I50" s="652">
        <f>SUM(I45:I49)</f>
        <v>0</v>
      </c>
      <c r="J50" s="486"/>
      <c r="K50" s="476"/>
      <c r="L50" s="487"/>
      <c r="M50" s="487"/>
      <c r="N50" s="487"/>
      <c r="O50" s="487"/>
      <c r="P50" s="487"/>
      <c r="Q50" s="487"/>
      <c r="R50" s="487"/>
      <c r="S50" s="487"/>
      <c r="T50" s="487"/>
      <c r="U50" s="487"/>
      <c r="V50" s="487"/>
      <c r="W50" s="487"/>
      <c r="X50" s="487"/>
      <c r="Y50" s="487"/>
      <c r="Z50" s="487"/>
      <c r="AA50" s="487"/>
      <c r="AB50" s="487"/>
      <c r="AC50" s="487"/>
      <c r="AD50" s="487"/>
      <c r="AE50" s="487"/>
      <c r="AF50" s="487"/>
      <c r="AG50" s="487"/>
      <c r="AH50" s="487"/>
      <c r="AI50" s="487"/>
      <c r="AJ50" s="487"/>
      <c r="AK50" s="487"/>
      <c r="AL50" s="487"/>
      <c r="AM50" s="487"/>
      <c r="AN50" s="487"/>
      <c r="AO50" s="487"/>
      <c r="AP50" s="487"/>
      <c r="AQ50" s="487"/>
      <c r="AR50" s="487"/>
      <c r="AS50" s="487"/>
      <c r="AT50" s="487"/>
      <c r="AU50" s="487"/>
      <c r="AV50" s="487"/>
      <c r="AW50" s="487"/>
      <c r="AX50" s="487"/>
      <c r="AY50" s="487"/>
      <c r="AZ50" s="487"/>
      <c r="BA50" s="487"/>
      <c r="BB50" s="487"/>
      <c r="BC50" s="487"/>
      <c r="BD50" s="487"/>
      <c r="BE50" s="487"/>
      <c r="BF50" s="487"/>
      <c r="BG50" s="487"/>
      <c r="BH50" s="487"/>
      <c r="BI50" s="487"/>
      <c r="BJ50" s="487"/>
      <c r="BK50" s="487"/>
      <c r="BL50" s="487"/>
      <c r="BM50" s="487"/>
      <c r="BN50" s="487"/>
      <c r="BO50" s="487"/>
      <c r="BP50" s="487"/>
      <c r="BQ50" s="487"/>
      <c r="BR50" s="487"/>
      <c r="BS50" s="487"/>
      <c r="BT50" s="487"/>
      <c r="BU50" s="487"/>
      <c r="BV50" s="487"/>
      <c r="BW50" s="487"/>
      <c r="BX50" s="487"/>
      <c r="BY50" s="487"/>
      <c r="BZ50" s="487"/>
      <c r="CA50" s="487"/>
      <c r="CB50" s="487"/>
      <c r="CC50" s="487"/>
      <c r="CD50" s="487"/>
      <c r="CE50" s="487"/>
      <c r="CF50" s="487"/>
      <c r="CG50" s="487"/>
      <c r="CH50" s="487"/>
      <c r="CI50" s="487"/>
      <c r="CJ50" s="487"/>
      <c r="CK50" s="487"/>
      <c r="CL50" s="487"/>
      <c r="CM50" s="487"/>
      <c r="CN50" s="487"/>
      <c r="CO50" s="487"/>
      <c r="CP50" s="487"/>
      <c r="CQ50" s="487"/>
      <c r="CR50" s="487"/>
      <c r="CS50" s="487"/>
      <c r="CT50" s="487"/>
      <c r="CU50" s="487"/>
      <c r="CV50" s="487"/>
      <c r="CW50" s="487"/>
      <c r="CX50" s="487"/>
      <c r="CY50" s="487"/>
      <c r="CZ50" s="487"/>
      <c r="DA50" s="487"/>
      <c r="DB50" s="487"/>
      <c r="DC50" s="487"/>
      <c r="DD50" s="487"/>
      <c r="DE50" s="487"/>
      <c r="DF50" s="487"/>
      <c r="DG50" s="487"/>
      <c r="DH50" s="487"/>
      <c r="DI50" s="487"/>
      <c r="DJ50" s="487"/>
      <c r="DK50" s="487"/>
      <c r="DL50" s="487"/>
      <c r="DM50" s="487"/>
      <c r="DN50" s="487"/>
      <c r="DO50" s="487"/>
      <c r="DP50" s="487"/>
    </row>
    <row r="51" spans="1:120" ht="14.25" customHeight="1" x14ac:dyDescent="0.25">
      <c r="A51" s="484"/>
      <c r="B51" s="441"/>
      <c r="C51" s="635"/>
      <c r="D51" s="637"/>
      <c r="E51" s="521"/>
      <c r="F51" s="521"/>
      <c r="G51" s="521"/>
      <c r="H51" s="521"/>
      <c r="I51" s="522"/>
      <c r="J51" s="486"/>
      <c r="K51" s="476"/>
      <c r="L51" s="487"/>
      <c r="M51" s="487"/>
      <c r="N51" s="487"/>
      <c r="O51" s="487"/>
      <c r="P51" s="487"/>
      <c r="Q51" s="487"/>
      <c r="R51" s="487"/>
      <c r="S51" s="487"/>
      <c r="T51" s="487"/>
      <c r="U51" s="487"/>
      <c r="V51" s="487"/>
      <c r="W51" s="487"/>
      <c r="X51" s="487"/>
      <c r="Y51" s="487"/>
      <c r="Z51" s="487"/>
      <c r="AA51" s="487"/>
      <c r="AB51" s="487"/>
      <c r="AC51" s="487"/>
      <c r="AD51" s="487"/>
      <c r="AE51" s="487"/>
      <c r="AF51" s="487"/>
      <c r="AG51" s="487"/>
      <c r="AH51" s="487"/>
      <c r="AI51" s="487"/>
      <c r="AJ51" s="487"/>
      <c r="AK51" s="487"/>
      <c r="AL51" s="487"/>
      <c r="AM51" s="487"/>
      <c r="AN51" s="487"/>
      <c r="AO51" s="487"/>
      <c r="AP51" s="487"/>
      <c r="AQ51" s="487"/>
      <c r="AR51" s="487"/>
      <c r="AS51" s="487"/>
      <c r="AT51" s="487"/>
      <c r="AU51" s="487"/>
      <c r="AV51" s="487"/>
      <c r="AW51" s="487"/>
      <c r="AX51" s="487"/>
      <c r="AY51" s="487"/>
      <c r="AZ51" s="487"/>
      <c r="BA51" s="487"/>
      <c r="BB51" s="487"/>
      <c r="BC51" s="487"/>
      <c r="BD51" s="487"/>
      <c r="BE51" s="487"/>
      <c r="BF51" s="487"/>
      <c r="BG51" s="487"/>
      <c r="BH51" s="487"/>
      <c r="BI51" s="487"/>
      <c r="BJ51" s="487"/>
      <c r="BK51" s="487"/>
      <c r="BL51" s="487"/>
      <c r="BM51" s="487"/>
      <c r="BN51" s="487"/>
      <c r="BO51" s="487"/>
      <c r="BP51" s="487"/>
      <c r="BQ51" s="487"/>
      <c r="BR51" s="487"/>
      <c r="BS51" s="487"/>
      <c r="BT51" s="487"/>
      <c r="BU51" s="487"/>
      <c r="BV51" s="487"/>
      <c r="BW51" s="487"/>
      <c r="BX51" s="487"/>
      <c r="BY51" s="487"/>
      <c r="BZ51" s="487"/>
      <c r="CA51" s="487"/>
      <c r="CB51" s="487"/>
      <c r="CC51" s="487"/>
      <c r="CD51" s="487"/>
      <c r="CE51" s="487"/>
      <c r="CF51" s="487"/>
      <c r="CG51" s="487"/>
      <c r="CH51" s="487"/>
      <c r="CI51" s="487"/>
      <c r="CJ51" s="487"/>
      <c r="CK51" s="487"/>
      <c r="CL51" s="487"/>
      <c r="CM51" s="487"/>
      <c r="CN51" s="487"/>
      <c r="CO51" s="487"/>
      <c r="CP51" s="487"/>
      <c r="CQ51" s="487"/>
      <c r="CR51" s="487"/>
      <c r="CS51" s="487"/>
      <c r="CT51" s="487"/>
      <c r="CU51" s="487"/>
      <c r="CV51" s="487"/>
      <c r="CW51" s="487"/>
      <c r="CX51" s="487"/>
      <c r="CY51" s="487"/>
      <c r="CZ51" s="487"/>
      <c r="DA51" s="487"/>
      <c r="DB51" s="487"/>
      <c r="DC51" s="487"/>
      <c r="DD51" s="487"/>
      <c r="DE51" s="487"/>
      <c r="DF51" s="487"/>
      <c r="DG51" s="487"/>
      <c r="DH51" s="487"/>
      <c r="DI51" s="487"/>
      <c r="DJ51" s="487"/>
      <c r="DK51" s="487"/>
      <c r="DL51" s="487"/>
      <c r="DM51" s="487"/>
      <c r="DN51" s="487"/>
      <c r="DO51" s="487"/>
      <c r="DP51" s="487"/>
    </row>
    <row r="52" spans="1:120" ht="13" x14ac:dyDescent="0.25">
      <c r="A52" s="484"/>
      <c r="B52" s="665" t="s">
        <v>86</v>
      </c>
      <c r="C52" s="666"/>
      <c r="D52" s="667"/>
      <c r="E52" s="521"/>
      <c r="F52" s="521"/>
      <c r="G52" s="521"/>
      <c r="H52" s="521"/>
      <c r="I52" s="522"/>
      <c r="J52" s="486"/>
      <c r="K52" s="476"/>
      <c r="L52" s="487"/>
      <c r="M52" s="487"/>
      <c r="N52" s="487"/>
      <c r="O52" s="487"/>
      <c r="P52" s="487"/>
      <c r="Q52" s="487"/>
      <c r="R52" s="487"/>
      <c r="S52" s="487"/>
      <c r="T52" s="487"/>
      <c r="U52" s="487"/>
      <c r="V52" s="487"/>
      <c r="W52" s="487"/>
      <c r="X52" s="487"/>
      <c r="Y52" s="487"/>
      <c r="Z52" s="487"/>
      <c r="AA52" s="487"/>
      <c r="AB52" s="487"/>
      <c r="AC52" s="487"/>
      <c r="AD52" s="487"/>
      <c r="AE52" s="487"/>
      <c r="AF52" s="487"/>
      <c r="AG52" s="487"/>
      <c r="AH52" s="487"/>
      <c r="AI52" s="487"/>
      <c r="AJ52" s="487"/>
      <c r="AK52" s="487"/>
      <c r="AL52" s="487"/>
      <c r="AM52" s="487"/>
      <c r="AN52" s="487"/>
      <c r="AO52" s="487"/>
      <c r="AP52" s="487"/>
      <c r="AQ52" s="487"/>
      <c r="AR52" s="487"/>
      <c r="AS52" s="487"/>
      <c r="AT52" s="487"/>
      <c r="AU52" s="487"/>
      <c r="AV52" s="487"/>
      <c r="AW52" s="487"/>
      <c r="AX52" s="487"/>
      <c r="AY52" s="487"/>
      <c r="AZ52" s="487"/>
      <c r="BA52" s="487"/>
      <c r="BB52" s="487"/>
      <c r="BC52" s="487"/>
      <c r="BD52" s="487"/>
      <c r="BE52" s="487"/>
      <c r="BF52" s="487"/>
      <c r="BG52" s="487"/>
      <c r="BH52" s="487"/>
      <c r="BI52" s="487"/>
      <c r="BJ52" s="487"/>
      <c r="BK52" s="487"/>
      <c r="BL52" s="487"/>
      <c r="BM52" s="487"/>
      <c r="BN52" s="487"/>
      <c r="BO52" s="487"/>
      <c r="BP52" s="487"/>
      <c r="BQ52" s="487"/>
      <c r="BR52" s="487"/>
      <c r="BS52" s="487"/>
      <c r="BT52" s="487"/>
      <c r="BU52" s="487"/>
      <c r="BV52" s="487"/>
      <c r="BW52" s="487"/>
      <c r="BX52" s="487"/>
      <c r="BY52" s="487"/>
      <c r="BZ52" s="487"/>
      <c r="CA52" s="487"/>
      <c r="CB52" s="487"/>
      <c r="CC52" s="487"/>
      <c r="CD52" s="487"/>
      <c r="CE52" s="487"/>
      <c r="CF52" s="487"/>
      <c r="CG52" s="487"/>
      <c r="CH52" s="487"/>
      <c r="CI52" s="487"/>
      <c r="CJ52" s="487"/>
      <c r="CK52" s="487"/>
      <c r="CL52" s="487"/>
      <c r="CM52" s="487"/>
      <c r="CN52" s="487"/>
      <c r="CO52" s="487"/>
      <c r="CP52" s="487"/>
      <c r="CQ52" s="487"/>
      <c r="CR52" s="487"/>
      <c r="CS52" s="487"/>
      <c r="CT52" s="487"/>
      <c r="CU52" s="487"/>
      <c r="CV52" s="487"/>
      <c r="CW52" s="487"/>
      <c r="CX52" s="487"/>
      <c r="CY52" s="487"/>
      <c r="CZ52" s="487"/>
      <c r="DA52" s="487"/>
      <c r="DB52" s="487"/>
      <c r="DC52" s="487"/>
      <c r="DD52" s="487"/>
      <c r="DE52" s="487"/>
      <c r="DF52" s="487"/>
      <c r="DG52" s="487"/>
      <c r="DH52" s="487"/>
      <c r="DI52" s="487"/>
      <c r="DJ52" s="487"/>
      <c r="DK52" s="487"/>
      <c r="DL52" s="487"/>
      <c r="DM52" s="487"/>
      <c r="DN52" s="487"/>
      <c r="DO52" s="487"/>
      <c r="DP52" s="487"/>
    </row>
    <row r="53" spans="1:120" x14ac:dyDescent="0.25">
      <c r="A53" s="484"/>
      <c r="B53" s="441" t="s">
        <v>295</v>
      </c>
      <c r="C53" s="635" t="s">
        <v>19</v>
      </c>
      <c r="D53" s="637"/>
      <c r="E53" s="521"/>
      <c r="F53" s="521"/>
      <c r="G53" s="521"/>
      <c r="H53" s="521"/>
      <c r="I53" s="522"/>
      <c r="J53" s="486"/>
      <c r="K53" s="476"/>
      <c r="L53" s="487"/>
      <c r="M53" s="487"/>
      <c r="N53" s="487"/>
      <c r="O53" s="487"/>
      <c r="P53" s="487"/>
      <c r="Q53" s="487"/>
      <c r="R53" s="487"/>
      <c r="S53" s="487"/>
      <c r="T53" s="487"/>
      <c r="U53" s="487"/>
      <c r="V53" s="487"/>
      <c r="W53" s="487"/>
      <c r="X53" s="487"/>
      <c r="Y53" s="487"/>
      <c r="Z53" s="487"/>
      <c r="AA53" s="487"/>
      <c r="AB53" s="487"/>
      <c r="AC53" s="487"/>
      <c r="AD53" s="487"/>
      <c r="AE53" s="487"/>
      <c r="AF53" s="487"/>
      <c r="AG53" s="487"/>
      <c r="AH53" s="487"/>
      <c r="AI53" s="487"/>
      <c r="AJ53" s="487"/>
      <c r="AK53" s="487"/>
      <c r="AL53" s="487"/>
      <c r="AM53" s="487"/>
      <c r="AN53" s="487"/>
      <c r="AO53" s="487"/>
      <c r="AP53" s="487"/>
      <c r="AQ53" s="487"/>
      <c r="AR53" s="487"/>
      <c r="AS53" s="487"/>
      <c r="AT53" s="487"/>
      <c r="AU53" s="487"/>
      <c r="AV53" s="487"/>
      <c r="AW53" s="487"/>
      <c r="AX53" s="487"/>
      <c r="AY53" s="487"/>
      <c r="AZ53" s="487"/>
      <c r="BA53" s="487"/>
      <c r="BB53" s="487"/>
      <c r="BC53" s="487"/>
      <c r="BD53" s="487"/>
      <c r="BE53" s="487"/>
      <c r="BF53" s="487"/>
      <c r="BG53" s="487"/>
      <c r="BH53" s="487"/>
      <c r="BI53" s="487"/>
      <c r="BJ53" s="487"/>
      <c r="BK53" s="487"/>
      <c r="BL53" s="487"/>
      <c r="BM53" s="487"/>
      <c r="BN53" s="487"/>
      <c r="BO53" s="487"/>
      <c r="BP53" s="487"/>
      <c r="BQ53" s="487"/>
      <c r="BR53" s="487"/>
      <c r="BS53" s="487"/>
      <c r="BT53" s="487"/>
      <c r="BU53" s="487"/>
      <c r="BV53" s="487"/>
      <c r="BW53" s="487"/>
      <c r="BX53" s="487"/>
      <c r="BY53" s="487"/>
      <c r="BZ53" s="487"/>
      <c r="CA53" s="487"/>
      <c r="CB53" s="487"/>
      <c r="CC53" s="487"/>
      <c r="CD53" s="487"/>
      <c r="CE53" s="487"/>
      <c r="CF53" s="487"/>
      <c r="CG53" s="487"/>
      <c r="CH53" s="487"/>
      <c r="CI53" s="487"/>
      <c r="CJ53" s="487"/>
      <c r="CK53" s="487"/>
      <c r="CL53" s="487"/>
      <c r="CM53" s="487"/>
      <c r="CN53" s="487"/>
      <c r="CO53" s="487"/>
      <c r="CP53" s="487"/>
      <c r="CQ53" s="487"/>
      <c r="CR53" s="487"/>
      <c r="CS53" s="487"/>
      <c r="CT53" s="487"/>
      <c r="CU53" s="487"/>
      <c r="CV53" s="487"/>
      <c r="CW53" s="487"/>
      <c r="CX53" s="487"/>
      <c r="CY53" s="487"/>
      <c r="CZ53" s="487"/>
      <c r="DA53" s="487"/>
      <c r="DB53" s="487"/>
      <c r="DC53" s="487"/>
      <c r="DD53" s="487"/>
      <c r="DE53" s="487"/>
      <c r="DF53" s="487"/>
      <c r="DG53" s="487"/>
      <c r="DH53" s="487"/>
      <c r="DI53" s="487"/>
      <c r="DJ53" s="487"/>
      <c r="DK53" s="487"/>
      <c r="DL53" s="487"/>
      <c r="DM53" s="487"/>
      <c r="DN53" s="487"/>
      <c r="DO53" s="487"/>
      <c r="DP53" s="487"/>
    </row>
    <row r="54" spans="1:120" x14ac:dyDescent="0.25">
      <c r="A54" s="484"/>
      <c r="B54" s="441" t="s">
        <v>296</v>
      </c>
      <c r="C54" s="635" t="s">
        <v>19</v>
      </c>
      <c r="D54" s="637"/>
      <c r="E54" s="521"/>
      <c r="F54" s="521"/>
      <c r="G54" s="521"/>
      <c r="H54" s="521"/>
      <c r="I54" s="522"/>
      <c r="J54" s="486"/>
      <c r="K54" s="476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487"/>
      <c r="AN54" s="487"/>
      <c r="AO54" s="487"/>
      <c r="AP54" s="487"/>
      <c r="AQ54" s="487"/>
      <c r="AR54" s="487"/>
      <c r="AS54" s="487"/>
      <c r="AT54" s="487"/>
      <c r="AU54" s="487"/>
      <c r="AV54" s="487"/>
      <c r="AW54" s="487"/>
      <c r="AX54" s="487"/>
      <c r="AY54" s="487"/>
      <c r="AZ54" s="487"/>
      <c r="BA54" s="487"/>
      <c r="BB54" s="487"/>
      <c r="BC54" s="487"/>
      <c r="BD54" s="487"/>
      <c r="BE54" s="487"/>
      <c r="BF54" s="487"/>
      <c r="BG54" s="487"/>
      <c r="BH54" s="487"/>
      <c r="BI54" s="487"/>
      <c r="BJ54" s="487"/>
      <c r="BK54" s="487"/>
      <c r="BL54" s="487"/>
      <c r="BM54" s="487"/>
      <c r="BN54" s="487"/>
      <c r="BO54" s="487"/>
      <c r="BP54" s="487"/>
      <c r="BQ54" s="487"/>
      <c r="BR54" s="487"/>
      <c r="BS54" s="487"/>
      <c r="BT54" s="487"/>
      <c r="BU54" s="487"/>
      <c r="BV54" s="487"/>
      <c r="BW54" s="487"/>
      <c r="BX54" s="487"/>
      <c r="BY54" s="487"/>
      <c r="BZ54" s="487"/>
      <c r="CA54" s="487"/>
      <c r="CB54" s="487"/>
      <c r="CC54" s="487"/>
      <c r="CD54" s="487"/>
      <c r="CE54" s="487"/>
      <c r="CF54" s="487"/>
      <c r="CG54" s="487"/>
      <c r="CH54" s="487"/>
      <c r="CI54" s="487"/>
      <c r="CJ54" s="487"/>
      <c r="CK54" s="487"/>
      <c r="CL54" s="487"/>
      <c r="CM54" s="487"/>
      <c r="CN54" s="487"/>
      <c r="CO54" s="487"/>
      <c r="CP54" s="487"/>
      <c r="CQ54" s="487"/>
      <c r="CR54" s="487"/>
      <c r="CS54" s="487"/>
      <c r="CT54" s="487"/>
      <c r="CU54" s="487"/>
      <c r="CV54" s="487"/>
      <c r="CW54" s="487"/>
      <c r="CX54" s="487"/>
      <c r="CY54" s="487"/>
      <c r="CZ54" s="487"/>
      <c r="DA54" s="487"/>
      <c r="DB54" s="487"/>
      <c r="DC54" s="487"/>
      <c r="DD54" s="487"/>
      <c r="DE54" s="487"/>
      <c r="DF54" s="487"/>
      <c r="DG54" s="487"/>
      <c r="DH54" s="487"/>
      <c r="DI54" s="487"/>
      <c r="DJ54" s="487"/>
      <c r="DK54" s="487"/>
      <c r="DL54" s="487"/>
      <c r="DM54" s="487"/>
      <c r="DN54" s="487"/>
      <c r="DO54" s="487"/>
      <c r="DP54" s="487"/>
    </row>
    <row r="55" spans="1:120" x14ac:dyDescent="0.25">
      <c r="A55" s="484"/>
      <c r="B55" s="441" t="s">
        <v>297</v>
      </c>
      <c r="C55" s="635" t="s">
        <v>19</v>
      </c>
      <c r="D55" s="637"/>
      <c r="E55" s="521"/>
      <c r="F55" s="521"/>
      <c r="G55" s="521"/>
      <c r="H55" s="521"/>
      <c r="I55" s="522"/>
      <c r="J55" s="486"/>
      <c r="K55" s="476"/>
      <c r="L55" s="487"/>
      <c r="M55" s="487"/>
      <c r="N55" s="487"/>
      <c r="O55" s="487"/>
      <c r="P55" s="487"/>
      <c r="Q55" s="487"/>
      <c r="R55" s="487"/>
      <c r="S55" s="487"/>
      <c r="T55" s="487"/>
      <c r="U55" s="487"/>
      <c r="V55" s="487"/>
      <c r="W55" s="487"/>
      <c r="X55" s="487"/>
      <c r="Y55" s="487"/>
      <c r="Z55" s="487"/>
      <c r="AA55" s="487"/>
      <c r="AB55" s="487"/>
      <c r="AC55" s="487"/>
      <c r="AD55" s="487"/>
      <c r="AE55" s="487"/>
      <c r="AF55" s="487"/>
      <c r="AG55" s="487"/>
      <c r="AH55" s="487"/>
      <c r="AI55" s="487"/>
      <c r="AJ55" s="487"/>
      <c r="AK55" s="487"/>
      <c r="AL55" s="487"/>
      <c r="AM55" s="487"/>
      <c r="AN55" s="487"/>
      <c r="AO55" s="487"/>
      <c r="AP55" s="487"/>
      <c r="AQ55" s="487"/>
      <c r="AR55" s="487"/>
      <c r="AS55" s="487"/>
      <c r="AT55" s="487"/>
      <c r="AU55" s="487"/>
      <c r="AV55" s="487"/>
      <c r="AW55" s="487"/>
      <c r="AX55" s="487"/>
      <c r="AY55" s="487"/>
      <c r="AZ55" s="487"/>
      <c r="BA55" s="487"/>
      <c r="BB55" s="487"/>
      <c r="BC55" s="487"/>
      <c r="BD55" s="487"/>
      <c r="BE55" s="487"/>
      <c r="BF55" s="487"/>
      <c r="BG55" s="487"/>
      <c r="BH55" s="487"/>
      <c r="BI55" s="487"/>
      <c r="BJ55" s="487"/>
      <c r="BK55" s="487"/>
      <c r="BL55" s="487"/>
      <c r="BM55" s="487"/>
      <c r="BN55" s="487"/>
      <c r="BO55" s="487"/>
      <c r="BP55" s="487"/>
      <c r="BQ55" s="487"/>
      <c r="BR55" s="487"/>
      <c r="BS55" s="487"/>
      <c r="BT55" s="487"/>
      <c r="BU55" s="487"/>
      <c r="BV55" s="487"/>
      <c r="BW55" s="487"/>
      <c r="BX55" s="487"/>
      <c r="BY55" s="487"/>
      <c r="BZ55" s="487"/>
      <c r="CA55" s="487"/>
      <c r="CB55" s="487"/>
      <c r="CC55" s="487"/>
      <c r="CD55" s="487"/>
      <c r="CE55" s="487"/>
      <c r="CF55" s="487"/>
      <c r="CG55" s="487"/>
      <c r="CH55" s="487"/>
      <c r="CI55" s="487"/>
      <c r="CJ55" s="487"/>
      <c r="CK55" s="487"/>
      <c r="CL55" s="487"/>
      <c r="CM55" s="487"/>
      <c r="CN55" s="487"/>
      <c r="CO55" s="487"/>
      <c r="CP55" s="487"/>
      <c r="CQ55" s="487"/>
      <c r="CR55" s="487"/>
      <c r="CS55" s="487"/>
      <c r="CT55" s="487"/>
      <c r="CU55" s="487"/>
      <c r="CV55" s="487"/>
      <c r="CW55" s="487"/>
      <c r="CX55" s="487"/>
      <c r="CY55" s="487"/>
      <c r="CZ55" s="487"/>
      <c r="DA55" s="487"/>
      <c r="DB55" s="487"/>
      <c r="DC55" s="487"/>
      <c r="DD55" s="487"/>
      <c r="DE55" s="487"/>
      <c r="DF55" s="487"/>
      <c r="DG55" s="487"/>
      <c r="DH55" s="487"/>
      <c r="DI55" s="487"/>
      <c r="DJ55" s="487"/>
      <c r="DK55" s="487"/>
      <c r="DL55" s="487"/>
      <c r="DM55" s="487"/>
      <c r="DN55" s="487"/>
      <c r="DO55" s="487"/>
      <c r="DP55" s="487"/>
    </row>
    <row r="56" spans="1:120" x14ac:dyDescent="0.25">
      <c r="A56" s="484"/>
      <c r="B56" s="441" t="s">
        <v>298</v>
      </c>
      <c r="C56" s="635" t="s">
        <v>19</v>
      </c>
      <c r="D56" s="637"/>
      <c r="E56" s="521"/>
      <c r="F56" s="521"/>
      <c r="G56" s="521"/>
      <c r="H56" s="521"/>
      <c r="I56" s="522"/>
      <c r="J56" s="486"/>
      <c r="K56" s="476"/>
      <c r="L56" s="487"/>
      <c r="M56" s="487"/>
      <c r="N56" s="487"/>
      <c r="O56" s="487"/>
      <c r="P56" s="487"/>
      <c r="Q56" s="487"/>
      <c r="R56" s="487"/>
      <c r="S56" s="487"/>
      <c r="T56" s="487"/>
      <c r="U56" s="487"/>
      <c r="V56" s="487"/>
      <c r="W56" s="487"/>
      <c r="X56" s="487"/>
      <c r="Y56" s="487"/>
      <c r="Z56" s="487"/>
      <c r="AA56" s="487"/>
      <c r="AB56" s="487"/>
      <c r="AC56" s="487"/>
      <c r="AD56" s="487"/>
      <c r="AE56" s="487"/>
      <c r="AF56" s="487"/>
      <c r="AG56" s="487"/>
      <c r="AH56" s="487"/>
      <c r="AI56" s="487"/>
      <c r="AJ56" s="487"/>
      <c r="AK56" s="487"/>
      <c r="AL56" s="487"/>
      <c r="AM56" s="487"/>
      <c r="AN56" s="487"/>
      <c r="AO56" s="487"/>
      <c r="AP56" s="487"/>
      <c r="AQ56" s="487"/>
      <c r="AR56" s="487"/>
      <c r="AS56" s="487"/>
      <c r="AT56" s="487"/>
      <c r="AU56" s="487"/>
      <c r="AV56" s="487"/>
      <c r="AW56" s="487"/>
      <c r="AX56" s="487"/>
      <c r="AY56" s="487"/>
      <c r="AZ56" s="487"/>
      <c r="BA56" s="487"/>
      <c r="BB56" s="487"/>
      <c r="BC56" s="487"/>
      <c r="BD56" s="487"/>
      <c r="BE56" s="487"/>
      <c r="BF56" s="487"/>
      <c r="BG56" s="487"/>
      <c r="BH56" s="487"/>
      <c r="BI56" s="487"/>
      <c r="BJ56" s="487"/>
      <c r="BK56" s="487"/>
      <c r="BL56" s="487"/>
      <c r="BM56" s="487"/>
      <c r="BN56" s="487"/>
      <c r="BO56" s="487"/>
      <c r="BP56" s="487"/>
      <c r="BQ56" s="487"/>
      <c r="BR56" s="487"/>
      <c r="BS56" s="487"/>
      <c r="BT56" s="487"/>
      <c r="BU56" s="487"/>
      <c r="BV56" s="487"/>
      <c r="BW56" s="487"/>
      <c r="BX56" s="487"/>
      <c r="BY56" s="487"/>
      <c r="BZ56" s="487"/>
      <c r="CA56" s="487"/>
      <c r="CB56" s="487"/>
      <c r="CC56" s="487"/>
      <c r="CD56" s="487"/>
      <c r="CE56" s="487"/>
      <c r="CF56" s="487"/>
      <c r="CG56" s="487"/>
      <c r="CH56" s="487"/>
      <c r="CI56" s="487"/>
      <c r="CJ56" s="487"/>
      <c r="CK56" s="487"/>
      <c r="CL56" s="487"/>
      <c r="CM56" s="487"/>
      <c r="CN56" s="487"/>
      <c r="CO56" s="487"/>
      <c r="CP56" s="487"/>
      <c r="CQ56" s="487"/>
      <c r="CR56" s="487"/>
      <c r="CS56" s="487"/>
      <c r="CT56" s="487"/>
      <c r="CU56" s="487"/>
      <c r="CV56" s="487"/>
      <c r="CW56" s="487"/>
      <c r="CX56" s="487"/>
      <c r="CY56" s="487"/>
      <c r="CZ56" s="487"/>
      <c r="DA56" s="487"/>
      <c r="DB56" s="487"/>
      <c r="DC56" s="487"/>
      <c r="DD56" s="487"/>
      <c r="DE56" s="487"/>
      <c r="DF56" s="487"/>
      <c r="DG56" s="487"/>
      <c r="DH56" s="487"/>
      <c r="DI56" s="487"/>
      <c r="DJ56" s="487"/>
      <c r="DK56" s="487"/>
      <c r="DL56" s="487"/>
      <c r="DM56" s="487"/>
      <c r="DN56" s="487"/>
      <c r="DO56" s="487"/>
      <c r="DP56" s="487"/>
    </row>
    <row r="57" spans="1:120" x14ac:dyDescent="0.25">
      <c r="A57" s="484"/>
      <c r="B57" s="441" t="s">
        <v>299</v>
      </c>
      <c r="C57" s="635"/>
      <c r="D57" s="534"/>
      <c r="E57" s="523"/>
      <c r="F57" s="523"/>
      <c r="G57" s="523"/>
      <c r="H57" s="523"/>
      <c r="I57" s="529"/>
      <c r="J57" s="486"/>
      <c r="K57" s="476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7"/>
      <c r="AB57" s="487"/>
      <c r="AC57" s="487"/>
      <c r="AD57" s="487"/>
      <c r="AE57" s="487"/>
      <c r="AF57" s="487"/>
      <c r="AG57" s="487"/>
      <c r="AH57" s="487"/>
      <c r="AI57" s="487"/>
      <c r="AJ57" s="487"/>
      <c r="AK57" s="487"/>
      <c r="AL57" s="487"/>
      <c r="AM57" s="487"/>
      <c r="AN57" s="487"/>
      <c r="AO57" s="487"/>
      <c r="AP57" s="487"/>
      <c r="AQ57" s="487"/>
      <c r="AR57" s="487"/>
      <c r="AS57" s="487"/>
      <c r="AT57" s="487"/>
      <c r="AU57" s="487"/>
      <c r="AV57" s="487"/>
      <c r="AW57" s="487"/>
      <c r="AX57" s="487"/>
      <c r="AY57" s="487"/>
      <c r="AZ57" s="487"/>
      <c r="BA57" s="487"/>
      <c r="BB57" s="487"/>
      <c r="BC57" s="487"/>
      <c r="BD57" s="487"/>
      <c r="BE57" s="487"/>
      <c r="BF57" s="487"/>
      <c r="BG57" s="487"/>
      <c r="BH57" s="487"/>
      <c r="BI57" s="487"/>
      <c r="BJ57" s="487"/>
      <c r="BK57" s="487"/>
      <c r="BL57" s="487"/>
      <c r="BM57" s="487"/>
      <c r="BN57" s="487"/>
      <c r="BO57" s="487"/>
      <c r="BP57" s="487"/>
      <c r="BQ57" s="487"/>
      <c r="BR57" s="487"/>
      <c r="BS57" s="487"/>
      <c r="BT57" s="487"/>
      <c r="BU57" s="487"/>
      <c r="BV57" s="487"/>
      <c r="BW57" s="487"/>
      <c r="BX57" s="487"/>
      <c r="BY57" s="487"/>
      <c r="BZ57" s="487"/>
      <c r="CA57" s="487"/>
      <c r="CB57" s="487"/>
      <c r="CC57" s="487"/>
      <c r="CD57" s="487"/>
      <c r="CE57" s="487"/>
      <c r="CF57" s="487"/>
      <c r="CG57" s="487"/>
      <c r="CH57" s="487"/>
      <c r="CI57" s="487"/>
      <c r="CJ57" s="487"/>
      <c r="CK57" s="487"/>
      <c r="CL57" s="487"/>
      <c r="CM57" s="487"/>
      <c r="CN57" s="487"/>
      <c r="CO57" s="487"/>
      <c r="CP57" s="487"/>
      <c r="CQ57" s="487"/>
      <c r="CR57" s="487"/>
      <c r="CS57" s="487"/>
      <c r="CT57" s="487"/>
      <c r="CU57" s="487"/>
      <c r="CV57" s="487"/>
      <c r="CW57" s="487"/>
      <c r="CX57" s="487"/>
      <c r="CY57" s="487"/>
      <c r="CZ57" s="487"/>
      <c r="DA57" s="487"/>
      <c r="DB57" s="487"/>
      <c r="DC57" s="487"/>
      <c r="DD57" s="487"/>
      <c r="DE57" s="487"/>
      <c r="DF57" s="487"/>
      <c r="DG57" s="487"/>
      <c r="DH57" s="487"/>
      <c r="DI57" s="487"/>
      <c r="DJ57" s="487"/>
      <c r="DK57" s="487"/>
      <c r="DL57" s="487"/>
      <c r="DM57" s="487"/>
      <c r="DN57" s="487"/>
      <c r="DO57" s="487"/>
      <c r="DP57" s="487"/>
    </row>
    <row r="58" spans="1:120" ht="13" thickBot="1" x14ac:dyDescent="0.3">
      <c r="B58" s="561"/>
      <c r="C58" s="668"/>
      <c r="D58" s="668"/>
      <c r="E58" s="668"/>
      <c r="F58" s="668"/>
      <c r="G58" s="668"/>
      <c r="H58" s="668"/>
      <c r="I58" s="669"/>
    </row>
    <row r="60" spans="1:120" ht="13" x14ac:dyDescent="0.25">
      <c r="A60" s="471"/>
      <c r="B60" s="670" t="s">
        <v>86</v>
      </c>
      <c r="C60" s="671"/>
      <c r="D60" s="670"/>
      <c r="E60" s="672"/>
      <c r="F60" s="672"/>
      <c r="G60" s="672"/>
      <c r="H60" s="672"/>
      <c r="I60" s="672"/>
      <c r="J60" s="731"/>
      <c r="K60" s="476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7"/>
      <c r="AB60" s="487"/>
      <c r="AC60" s="487"/>
      <c r="AD60" s="487"/>
      <c r="AE60" s="487"/>
      <c r="AF60" s="487"/>
      <c r="AG60" s="487"/>
      <c r="AH60" s="487"/>
      <c r="AI60" s="487"/>
      <c r="AJ60" s="487"/>
      <c r="AK60" s="487"/>
      <c r="AL60" s="487"/>
      <c r="AM60" s="487"/>
      <c r="AN60" s="487"/>
      <c r="AO60" s="487"/>
      <c r="AP60" s="487"/>
      <c r="AQ60" s="487"/>
      <c r="AR60" s="487"/>
      <c r="AS60" s="487"/>
      <c r="AT60" s="487"/>
      <c r="AU60" s="487"/>
      <c r="AV60" s="487"/>
      <c r="AW60" s="487"/>
      <c r="AX60" s="487"/>
      <c r="AY60" s="487"/>
      <c r="AZ60" s="487"/>
      <c r="BA60" s="487"/>
      <c r="BB60" s="487"/>
      <c r="BC60" s="487"/>
      <c r="BD60" s="487"/>
      <c r="BE60" s="487"/>
      <c r="BF60" s="487"/>
      <c r="BG60" s="487"/>
      <c r="BH60" s="487"/>
      <c r="BI60" s="487"/>
      <c r="BJ60" s="487"/>
      <c r="BK60" s="487"/>
      <c r="BL60" s="487"/>
      <c r="BM60" s="487"/>
      <c r="BN60" s="487"/>
      <c r="BO60" s="487"/>
      <c r="BP60" s="487"/>
      <c r="BQ60" s="487"/>
      <c r="BR60" s="487"/>
      <c r="BS60" s="487"/>
      <c r="BT60" s="487"/>
      <c r="BU60" s="487"/>
      <c r="BV60" s="487"/>
      <c r="BW60" s="487"/>
      <c r="BX60" s="487"/>
      <c r="BY60" s="487"/>
      <c r="BZ60" s="487"/>
      <c r="CA60" s="487"/>
      <c r="CB60" s="487"/>
      <c r="CC60" s="487"/>
      <c r="CD60" s="487"/>
      <c r="CE60" s="487"/>
      <c r="CF60" s="487"/>
      <c r="CG60" s="487"/>
      <c r="CH60" s="487"/>
      <c r="CI60" s="487"/>
      <c r="CJ60" s="487"/>
      <c r="CK60" s="487"/>
      <c r="CL60" s="487"/>
      <c r="CM60" s="487"/>
      <c r="CN60" s="487"/>
      <c r="CO60" s="487"/>
      <c r="CP60" s="487"/>
      <c r="CQ60" s="487"/>
      <c r="CR60" s="487"/>
      <c r="CS60" s="487"/>
      <c r="CT60" s="487"/>
      <c r="CU60" s="487"/>
      <c r="CV60" s="487"/>
      <c r="CW60" s="487"/>
      <c r="CX60" s="487"/>
      <c r="CY60" s="487"/>
      <c r="CZ60" s="487"/>
      <c r="DA60" s="487"/>
      <c r="DB60" s="487"/>
      <c r="DC60" s="487"/>
      <c r="DD60" s="487"/>
      <c r="DE60" s="487"/>
      <c r="DF60" s="487"/>
      <c r="DG60" s="487"/>
      <c r="DH60" s="487"/>
      <c r="DI60" s="487"/>
      <c r="DJ60" s="487"/>
      <c r="DK60" s="487"/>
      <c r="DL60" s="487"/>
      <c r="DM60" s="487"/>
      <c r="DN60" s="487"/>
      <c r="DO60" s="487"/>
      <c r="DP60" s="487"/>
    </row>
    <row r="61" spans="1:120" x14ac:dyDescent="0.25">
      <c r="A61" s="471"/>
      <c r="B61" s="484" t="s">
        <v>295</v>
      </c>
      <c r="C61" s="486"/>
      <c r="D61" s="484"/>
      <c r="E61" s="673"/>
      <c r="F61" s="673"/>
      <c r="G61" s="673"/>
      <c r="H61" s="673"/>
      <c r="I61" s="673"/>
      <c r="J61" s="731"/>
      <c r="K61" s="476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7"/>
      <c r="AB61" s="487"/>
      <c r="AC61" s="487"/>
      <c r="AD61" s="487"/>
      <c r="AE61" s="487"/>
      <c r="AF61" s="487"/>
      <c r="AG61" s="487"/>
      <c r="AH61" s="487"/>
      <c r="AI61" s="487"/>
      <c r="AJ61" s="487"/>
      <c r="AK61" s="487"/>
      <c r="AL61" s="487"/>
      <c r="AM61" s="487"/>
      <c r="AN61" s="487"/>
      <c r="AO61" s="487"/>
      <c r="AP61" s="487"/>
      <c r="AQ61" s="487"/>
      <c r="AR61" s="487"/>
      <c r="AS61" s="487"/>
      <c r="AT61" s="487"/>
      <c r="AU61" s="487"/>
      <c r="AV61" s="487"/>
      <c r="AW61" s="487"/>
      <c r="AX61" s="487"/>
      <c r="AY61" s="487"/>
      <c r="AZ61" s="487"/>
      <c r="BA61" s="487"/>
      <c r="BB61" s="487"/>
      <c r="BC61" s="487"/>
      <c r="BD61" s="487"/>
      <c r="BE61" s="487"/>
      <c r="BF61" s="487"/>
      <c r="BG61" s="487"/>
      <c r="BH61" s="487"/>
      <c r="BI61" s="487"/>
      <c r="BJ61" s="487"/>
      <c r="BK61" s="487"/>
      <c r="BL61" s="487"/>
      <c r="BM61" s="487"/>
      <c r="BN61" s="487"/>
      <c r="BO61" s="487"/>
      <c r="BP61" s="487"/>
      <c r="BQ61" s="487"/>
      <c r="BR61" s="487"/>
      <c r="BS61" s="487"/>
      <c r="BT61" s="487"/>
      <c r="BU61" s="487"/>
      <c r="BV61" s="487"/>
      <c r="BW61" s="487"/>
      <c r="BX61" s="487"/>
      <c r="BY61" s="487"/>
      <c r="BZ61" s="487"/>
      <c r="CA61" s="487"/>
      <c r="CB61" s="487"/>
      <c r="CC61" s="487"/>
      <c r="CD61" s="487"/>
      <c r="CE61" s="487"/>
      <c r="CF61" s="487"/>
      <c r="CG61" s="487"/>
      <c r="CH61" s="487"/>
      <c r="CI61" s="487"/>
      <c r="CJ61" s="487"/>
      <c r="CK61" s="487"/>
      <c r="CL61" s="487"/>
      <c r="CM61" s="487"/>
      <c r="CN61" s="487"/>
      <c r="CO61" s="487"/>
      <c r="CP61" s="487"/>
      <c r="CQ61" s="487"/>
      <c r="CR61" s="487"/>
      <c r="CS61" s="487"/>
      <c r="CT61" s="487"/>
      <c r="CU61" s="487"/>
      <c r="CV61" s="487"/>
      <c r="CW61" s="487"/>
      <c r="CX61" s="487"/>
      <c r="CY61" s="487"/>
      <c r="CZ61" s="487"/>
      <c r="DA61" s="487"/>
      <c r="DB61" s="487"/>
      <c r="DC61" s="487"/>
      <c r="DD61" s="487"/>
      <c r="DE61" s="487"/>
      <c r="DF61" s="487"/>
      <c r="DG61" s="487"/>
      <c r="DH61" s="487"/>
      <c r="DI61" s="487"/>
      <c r="DJ61" s="487"/>
      <c r="DK61" s="487"/>
      <c r="DL61" s="487"/>
      <c r="DM61" s="487"/>
      <c r="DN61" s="487"/>
      <c r="DO61" s="487"/>
      <c r="DP61" s="487"/>
    </row>
    <row r="62" spans="1:120" x14ac:dyDescent="0.25">
      <c r="A62" s="471"/>
      <c r="B62" s="484" t="s">
        <v>296</v>
      </c>
      <c r="C62" s="486"/>
      <c r="D62" s="484"/>
      <c r="E62" s="673"/>
      <c r="F62" s="673"/>
      <c r="G62" s="673"/>
      <c r="H62" s="673"/>
      <c r="I62" s="673"/>
      <c r="J62" s="731"/>
      <c r="K62" s="476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7"/>
      <c r="AB62" s="487"/>
      <c r="AC62" s="487"/>
      <c r="AD62" s="487"/>
      <c r="AE62" s="487"/>
      <c r="AF62" s="487"/>
      <c r="AG62" s="487"/>
      <c r="AH62" s="487"/>
      <c r="AI62" s="487"/>
      <c r="AJ62" s="487"/>
      <c r="AK62" s="487"/>
      <c r="AL62" s="487"/>
      <c r="AM62" s="487"/>
      <c r="AN62" s="487"/>
      <c r="AO62" s="487"/>
      <c r="AP62" s="487"/>
      <c r="AQ62" s="487"/>
      <c r="AR62" s="487"/>
      <c r="AS62" s="487"/>
      <c r="AT62" s="487"/>
      <c r="AU62" s="487"/>
      <c r="AV62" s="487"/>
      <c r="AW62" s="487"/>
      <c r="AX62" s="487"/>
      <c r="AY62" s="487"/>
      <c r="AZ62" s="487"/>
      <c r="BA62" s="487"/>
      <c r="BB62" s="487"/>
      <c r="BC62" s="487"/>
      <c r="BD62" s="487"/>
      <c r="BE62" s="487"/>
      <c r="BF62" s="487"/>
      <c r="BG62" s="487"/>
      <c r="BH62" s="487"/>
      <c r="BI62" s="487"/>
      <c r="BJ62" s="487"/>
      <c r="BK62" s="487"/>
      <c r="BL62" s="487"/>
      <c r="BM62" s="487"/>
      <c r="BN62" s="487"/>
      <c r="BO62" s="487"/>
      <c r="BP62" s="487"/>
      <c r="BQ62" s="487"/>
      <c r="BR62" s="487"/>
      <c r="BS62" s="487"/>
      <c r="BT62" s="487"/>
      <c r="BU62" s="487"/>
      <c r="BV62" s="487"/>
      <c r="BW62" s="487"/>
      <c r="BX62" s="487"/>
      <c r="BY62" s="487"/>
      <c r="BZ62" s="487"/>
      <c r="CA62" s="487"/>
      <c r="CB62" s="487"/>
      <c r="CC62" s="487"/>
      <c r="CD62" s="487"/>
      <c r="CE62" s="487"/>
      <c r="CF62" s="487"/>
      <c r="CG62" s="487"/>
      <c r="CH62" s="487"/>
      <c r="CI62" s="487"/>
      <c r="CJ62" s="487"/>
      <c r="CK62" s="487"/>
      <c r="CL62" s="487"/>
      <c r="CM62" s="487"/>
      <c r="CN62" s="487"/>
      <c r="CO62" s="487"/>
      <c r="CP62" s="487"/>
      <c r="CQ62" s="487"/>
      <c r="CR62" s="487"/>
      <c r="CS62" s="487"/>
      <c r="CT62" s="487"/>
      <c r="CU62" s="487"/>
      <c r="CV62" s="487"/>
      <c r="CW62" s="487"/>
      <c r="CX62" s="487"/>
      <c r="CY62" s="487"/>
      <c r="CZ62" s="487"/>
      <c r="DA62" s="487"/>
      <c r="DB62" s="487"/>
      <c r="DC62" s="487"/>
      <c r="DD62" s="487"/>
      <c r="DE62" s="487"/>
      <c r="DF62" s="487"/>
      <c r="DG62" s="487"/>
      <c r="DH62" s="487"/>
      <c r="DI62" s="487"/>
      <c r="DJ62" s="487"/>
      <c r="DK62" s="487"/>
      <c r="DL62" s="487"/>
      <c r="DM62" s="487"/>
      <c r="DN62" s="487"/>
      <c r="DO62" s="487"/>
      <c r="DP62" s="487"/>
    </row>
    <row r="63" spans="1:120" x14ac:dyDescent="0.25">
      <c r="A63" s="471"/>
      <c r="B63" s="484" t="s">
        <v>297</v>
      </c>
      <c r="C63" s="486"/>
      <c r="D63" s="484"/>
      <c r="E63" s="673"/>
      <c r="F63" s="673"/>
      <c r="G63" s="673"/>
      <c r="H63" s="673"/>
      <c r="I63" s="673"/>
      <c r="J63" s="731"/>
      <c r="K63" s="476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7"/>
      <c r="AB63" s="487"/>
      <c r="AC63" s="487"/>
      <c r="AD63" s="487"/>
      <c r="AE63" s="487"/>
      <c r="AF63" s="487"/>
      <c r="AG63" s="487"/>
      <c r="AH63" s="487"/>
      <c r="AI63" s="487"/>
      <c r="AJ63" s="487"/>
      <c r="AK63" s="487"/>
      <c r="AL63" s="487"/>
      <c r="AM63" s="487"/>
      <c r="AN63" s="487"/>
      <c r="AO63" s="487"/>
      <c r="AP63" s="487"/>
      <c r="AQ63" s="487"/>
      <c r="AR63" s="487"/>
      <c r="AS63" s="487"/>
      <c r="AT63" s="487"/>
      <c r="AU63" s="487"/>
      <c r="AV63" s="487"/>
      <c r="AW63" s="487"/>
      <c r="AX63" s="487"/>
      <c r="AY63" s="487"/>
      <c r="AZ63" s="487"/>
      <c r="BA63" s="487"/>
      <c r="BB63" s="487"/>
      <c r="BC63" s="487"/>
      <c r="BD63" s="487"/>
      <c r="BE63" s="487"/>
      <c r="BF63" s="487"/>
      <c r="BG63" s="487"/>
      <c r="BH63" s="487"/>
      <c r="BI63" s="487"/>
      <c r="BJ63" s="487"/>
      <c r="BK63" s="487"/>
      <c r="BL63" s="487"/>
      <c r="BM63" s="487"/>
      <c r="BN63" s="487"/>
      <c r="BO63" s="487"/>
      <c r="BP63" s="487"/>
      <c r="BQ63" s="487"/>
      <c r="BR63" s="487"/>
      <c r="BS63" s="487"/>
      <c r="BT63" s="487"/>
      <c r="BU63" s="487"/>
      <c r="BV63" s="487"/>
      <c r="BW63" s="487"/>
      <c r="BX63" s="487"/>
      <c r="BY63" s="487"/>
      <c r="BZ63" s="487"/>
      <c r="CA63" s="487"/>
      <c r="CB63" s="487"/>
      <c r="CC63" s="487"/>
      <c r="CD63" s="487"/>
      <c r="CE63" s="487"/>
      <c r="CF63" s="487"/>
      <c r="CG63" s="487"/>
      <c r="CH63" s="487"/>
      <c r="CI63" s="487"/>
      <c r="CJ63" s="487"/>
      <c r="CK63" s="487"/>
      <c r="CL63" s="487"/>
      <c r="CM63" s="487"/>
      <c r="CN63" s="487"/>
      <c r="CO63" s="487"/>
      <c r="CP63" s="487"/>
      <c r="CQ63" s="487"/>
      <c r="CR63" s="487"/>
      <c r="CS63" s="487"/>
      <c r="CT63" s="487"/>
      <c r="CU63" s="487"/>
      <c r="CV63" s="487"/>
      <c r="CW63" s="487"/>
      <c r="CX63" s="487"/>
      <c r="CY63" s="487"/>
      <c r="CZ63" s="487"/>
      <c r="DA63" s="487"/>
      <c r="DB63" s="487"/>
      <c r="DC63" s="487"/>
      <c r="DD63" s="487"/>
      <c r="DE63" s="487"/>
      <c r="DF63" s="487"/>
      <c r="DG63" s="487"/>
      <c r="DH63" s="487"/>
      <c r="DI63" s="487"/>
      <c r="DJ63" s="487"/>
      <c r="DK63" s="487"/>
      <c r="DL63" s="487"/>
      <c r="DM63" s="487"/>
      <c r="DN63" s="487"/>
      <c r="DO63" s="487"/>
      <c r="DP63" s="487"/>
    </row>
    <row r="64" spans="1:120" x14ac:dyDescent="0.25">
      <c r="A64" s="471"/>
      <c r="B64" s="484" t="s">
        <v>298</v>
      </c>
      <c r="C64" s="486"/>
      <c r="D64" s="484"/>
      <c r="E64" s="673"/>
      <c r="F64" s="673"/>
      <c r="G64" s="673"/>
      <c r="H64" s="673"/>
      <c r="I64" s="673"/>
      <c r="J64" s="731"/>
      <c r="K64" s="476"/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  <c r="AA64" s="487"/>
      <c r="AB64" s="487"/>
      <c r="AC64" s="487"/>
      <c r="AD64" s="487"/>
      <c r="AE64" s="487"/>
      <c r="AF64" s="487"/>
      <c r="AG64" s="487"/>
      <c r="AH64" s="487"/>
      <c r="AI64" s="487"/>
      <c r="AJ64" s="487"/>
      <c r="AK64" s="487"/>
      <c r="AL64" s="487"/>
      <c r="AM64" s="487"/>
      <c r="AN64" s="487"/>
      <c r="AO64" s="487"/>
      <c r="AP64" s="487"/>
      <c r="AQ64" s="487"/>
      <c r="AR64" s="487"/>
      <c r="AS64" s="487"/>
      <c r="AT64" s="487"/>
      <c r="AU64" s="487"/>
      <c r="AV64" s="487"/>
      <c r="AW64" s="487"/>
      <c r="AX64" s="487"/>
      <c r="AY64" s="487"/>
      <c r="AZ64" s="487"/>
      <c r="BA64" s="487"/>
      <c r="BB64" s="487"/>
      <c r="BC64" s="487"/>
      <c r="BD64" s="487"/>
      <c r="BE64" s="487"/>
      <c r="BF64" s="487"/>
      <c r="BG64" s="487"/>
      <c r="BH64" s="487"/>
      <c r="BI64" s="487"/>
      <c r="BJ64" s="487"/>
      <c r="BK64" s="487"/>
      <c r="BL64" s="487"/>
      <c r="BM64" s="487"/>
      <c r="BN64" s="487"/>
      <c r="BO64" s="487"/>
      <c r="BP64" s="487"/>
      <c r="BQ64" s="487"/>
      <c r="BR64" s="487"/>
      <c r="BS64" s="487"/>
      <c r="BT64" s="487"/>
      <c r="BU64" s="487"/>
      <c r="BV64" s="487"/>
      <c r="BW64" s="487"/>
      <c r="BX64" s="487"/>
      <c r="BY64" s="487"/>
      <c r="BZ64" s="487"/>
      <c r="CA64" s="487"/>
      <c r="CB64" s="487"/>
      <c r="CC64" s="487"/>
      <c r="CD64" s="487"/>
      <c r="CE64" s="487"/>
      <c r="CF64" s="487"/>
      <c r="CG64" s="487"/>
      <c r="CH64" s="487"/>
      <c r="CI64" s="487"/>
      <c r="CJ64" s="487"/>
      <c r="CK64" s="487"/>
      <c r="CL64" s="487"/>
      <c r="CM64" s="487"/>
      <c r="CN64" s="487"/>
      <c r="CO64" s="487"/>
      <c r="CP64" s="487"/>
      <c r="CQ64" s="487"/>
      <c r="CR64" s="487"/>
      <c r="CS64" s="487"/>
      <c r="CT64" s="487"/>
      <c r="CU64" s="487"/>
      <c r="CV64" s="487"/>
      <c r="CW64" s="487"/>
      <c r="CX64" s="487"/>
      <c r="CY64" s="487"/>
      <c r="CZ64" s="487"/>
      <c r="DA64" s="487"/>
      <c r="DB64" s="487"/>
      <c r="DC64" s="487"/>
      <c r="DD64" s="487"/>
      <c r="DE64" s="487"/>
      <c r="DF64" s="487"/>
      <c r="DG64" s="487"/>
      <c r="DH64" s="487"/>
      <c r="DI64" s="487"/>
      <c r="DJ64" s="487"/>
      <c r="DK64" s="487"/>
      <c r="DL64" s="487"/>
      <c r="DM64" s="487"/>
      <c r="DN64" s="487"/>
      <c r="DO64" s="487"/>
      <c r="DP64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BF18-92D4-4347-829D-8FDF32358CA1}">
  <sheetPr>
    <tabColor rgb="FFFFFF00"/>
  </sheetPr>
  <dimension ref="A1:G41"/>
  <sheetViews>
    <sheetView topLeftCell="A15" workbookViewId="0">
      <selection activeCell="A15" sqref="A15"/>
    </sheetView>
  </sheetViews>
  <sheetFormatPr defaultRowHeight="12.5" x14ac:dyDescent="0.25"/>
  <cols>
    <col min="1" max="1" width="32.6328125" style="471" customWidth="1"/>
    <col min="2" max="2" width="13.36328125" style="471" customWidth="1"/>
    <col min="3" max="3" width="14.08984375" style="471" customWidth="1"/>
    <col min="4" max="16384" width="8.7265625" style="471"/>
  </cols>
  <sheetData>
    <row r="1" spans="1:7" ht="13.5" thickBot="1" x14ac:dyDescent="0.35">
      <c r="A1" s="470" t="s">
        <v>309</v>
      </c>
    </row>
    <row r="2" spans="1:7" ht="13" x14ac:dyDescent="0.3">
      <c r="A2" s="418"/>
      <c r="B2" s="419" t="s">
        <v>280</v>
      </c>
      <c r="C2" s="419" t="s">
        <v>310</v>
      </c>
      <c r="D2" s="419" t="s">
        <v>311</v>
      </c>
      <c r="E2" s="419" t="s">
        <v>312</v>
      </c>
      <c r="F2" s="419" t="s">
        <v>313</v>
      </c>
      <c r="G2" s="420" t="s">
        <v>314</v>
      </c>
    </row>
    <row r="3" spans="1:7" ht="13" x14ac:dyDescent="0.3">
      <c r="A3" s="421" t="s">
        <v>110</v>
      </c>
      <c r="B3" s="422"/>
      <c r="C3" s="423"/>
      <c r="D3" s="424"/>
      <c r="E3" s="425"/>
      <c r="F3" s="424"/>
      <c r="G3" s="426"/>
    </row>
    <row r="4" spans="1:7" ht="13" x14ac:dyDescent="0.3">
      <c r="A4" s="427" t="s">
        <v>110</v>
      </c>
      <c r="B4" s="422">
        <f>'Revenue_Sales Assumptions'!D12</f>
        <v>90.5</v>
      </c>
      <c r="C4" s="422">
        <f>'Revenue_Sales Assumptions'!E12</f>
        <v>110.10000000000001</v>
      </c>
      <c r="D4" s="422">
        <f>'Revenue_Sales Assumptions'!F12</f>
        <v>147.9</v>
      </c>
      <c r="E4" s="422">
        <f>'Revenue_Sales Assumptions'!G12</f>
        <v>195.11500000000001</v>
      </c>
      <c r="F4" s="422">
        <f>'Revenue_Sales Assumptions'!H12</f>
        <v>227.92149999999998</v>
      </c>
      <c r="G4" s="428">
        <f>'Revenue_Sales Assumptions'!I12</f>
        <v>267.13765000000001</v>
      </c>
    </row>
    <row r="5" spans="1:7" ht="13" x14ac:dyDescent="0.3">
      <c r="A5" s="429" t="s">
        <v>325</v>
      </c>
      <c r="B5" s="430"/>
      <c r="C5" s="431"/>
      <c r="D5" s="432"/>
      <c r="E5" s="432"/>
      <c r="F5" s="432"/>
      <c r="G5" s="433"/>
    </row>
    <row r="6" spans="1:7" ht="13" x14ac:dyDescent="0.3">
      <c r="A6" s="434" t="s">
        <v>326</v>
      </c>
      <c r="B6" s="435">
        <f t="shared" ref="B6:G6" si="0">B4+B5</f>
        <v>90.5</v>
      </c>
      <c r="C6" s="435">
        <f t="shared" si="0"/>
        <v>110.10000000000001</v>
      </c>
      <c r="D6" s="435">
        <f t="shared" si="0"/>
        <v>147.9</v>
      </c>
      <c r="E6" s="435">
        <f t="shared" si="0"/>
        <v>195.11500000000001</v>
      </c>
      <c r="F6" s="435">
        <f t="shared" si="0"/>
        <v>227.92149999999998</v>
      </c>
      <c r="G6" s="436">
        <f t="shared" si="0"/>
        <v>267.13765000000001</v>
      </c>
    </row>
    <row r="7" spans="1:7" ht="13" x14ac:dyDescent="0.3">
      <c r="A7" s="437" t="s">
        <v>20</v>
      </c>
      <c r="B7" s="438"/>
      <c r="C7" s="438"/>
      <c r="D7" s="438"/>
      <c r="E7" s="438"/>
      <c r="F7" s="438"/>
      <c r="G7" s="439"/>
    </row>
    <row r="8" spans="1:7" ht="13" x14ac:dyDescent="0.3">
      <c r="A8" s="440" t="s">
        <v>336</v>
      </c>
      <c r="B8" s="438"/>
      <c r="C8" s="438"/>
      <c r="D8" s="438"/>
      <c r="E8" s="438"/>
      <c r="F8" s="438"/>
      <c r="G8" s="439"/>
    </row>
    <row r="9" spans="1:7" ht="13" x14ac:dyDescent="0.3">
      <c r="A9" s="441" t="s">
        <v>409</v>
      </c>
      <c r="B9" s="442"/>
      <c r="C9" s="442"/>
      <c r="D9" s="442"/>
      <c r="E9" s="442"/>
      <c r="F9" s="442"/>
      <c r="G9" s="443"/>
    </row>
    <row r="10" spans="1:7" x14ac:dyDescent="0.25">
      <c r="A10" s="441" t="s">
        <v>410</v>
      </c>
      <c r="B10" s="444"/>
      <c r="C10" s="444"/>
      <c r="D10" s="444"/>
      <c r="E10" s="444"/>
      <c r="F10" s="444"/>
      <c r="G10" s="445"/>
    </row>
    <row r="11" spans="1:7" x14ac:dyDescent="0.25">
      <c r="A11" s="441" t="s">
        <v>411</v>
      </c>
      <c r="B11" s="446"/>
      <c r="C11" s="446"/>
      <c r="D11" s="446"/>
      <c r="E11" s="446"/>
      <c r="F11" s="446"/>
      <c r="G11" s="447"/>
    </row>
    <row r="12" spans="1:7" ht="13" x14ac:dyDescent="0.3">
      <c r="A12" s="434" t="s">
        <v>302</v>
      </c>
      <c r="B12" s="448">
        <f t="shared" ref="B12:G12" si="1">SUM(B9:B11)</f>
        <v>0</v>
      </c>
      <c r="C12" s="448">
        <f t="shared" si="1"/>
        <v>0</v>
      </c>
      <c r="D12" s="448">
        <f t="shared" si="1"/>
        <v>0</v>
      </c>
      <c r="E12" s="448">
        <f t="shared" si="1"/>
        <v>0</v>
      </c>
      <c r="F12" s="448">
        <f t="shared" si="1"/>
        <v>0</v>
      </c>
      <c r="G12" s="449">
        <f t="shared" si="1"/>
        <v>0</v>
      </c>
    </row>
    <row r="13" spans="1:7" x14ac:dyDescent="0.25">
      <c r="A13" s="677" t="s">
        <v>420</v>
      </c>
      <c r="B13" s="444"/>
      <c r="C13" s="444"/>
      <c r="D13" s="444"/>
      <c r="E13" s="444"/>
      <c r="F13" s="444"/>
      <c r="G13" s="445"/>
    </row>
    <row r="14" spans="1:7" x14ac:dyDescent="0.25">
      <c r="A14" s="677" t="s">
        <v>421</v>
      </c>
      <c r="B14" s="444"/>
      <c r="C14" s="444">
        <f>WC!D4</f>
        <v>0</v>
      </c>
      <c r="D14" s="444">
        <f>WC!E4</f>
        <v>0</v>
      </c>
      <c r="E14" s="444">
        <f>WC!F4</f>
        <v>0</v>
      </c>
      <c r="F14" s="444">
        <f>WC!G4</f>
        <v>0</v>
      </c>
      <c r="G14" s="444">
        <f>WC!H4</f>
        <v>0</v>
      </c>
    </row>
    <row r="15" spans="1:7" ht="13" x14ac:dyDescent="0.3">
      <c r="A15" s="676" t="s">
        <v>422</v>
      </c>
      <c r="B15" s="678">
        <f>B13+B12-B14</f>
        <v>0</v>
      </c>
      <c r="C15" s="678">
        <f t="shared" ref="C15:G15" si="2">C13+C12-C14</f>
        <v>0</v>
      </c>
      <c r="D15" s="678">
        <f t="shared" si="2"/>
        <v>0</v>
      </c>
      <c r="E15" s="678">
        <f t="shared" si="2"/>
        <v>0</v>
      </c>
      <c r="F15" s="678">
        <f t="shared" si="2"/>
        <v>0</v>
      </c>
      <c r="G15" s="678">
        <f t="shared" si="2"/>
        <v>0</v>
      </c>
    </row>
    <row r="16" spans="1:7" ht="13" x14ac:dyDescent="0.3">
      <c r="A16" s="421" t="s">
        <v>6</v>
      </c>
      <c r="B16" s="450">
        <f>B6-B15</f>
        <v>90.5</v>
      </c>
      <c r="C16" s="450">
        <f t="shared" ref="C16:G16" si="3">C6-C15</f>
        <v>110.10000000000001</v>
      </c>
      <c r="D16" s="450">
        <f t="shared" si="3"/>
        <v>147.9</v>
      </c>
      <c r="E16" s="450">
        <f t="shared" si="3"/>
        <v>195.11500000000001</v>
      </c>
      <c r="F16" s="450">
        <f t="shared" si="3"/>
        <v>227.92149999999998</v>
      </c>
      <c r="G16" s="450">
        <f t="shared" si="3"/>
        <v>267.13765000000001</v>
      </c>
    </row>
    <row r="17" spans="1:7" ht="13" x14ac:dyDescent="0.3">
      <c r="A17" s="452" t="s">
        <v>327</v>
      </c>
      <c r="B17" s="453">
        <f t="shared" ref="B17:G17" si="4">B16/B6</f>
        <v>1</v>
      </c>
      <c r="C17" s="453">
        <f t="shared" si="4"/>
        <v>1</v>
      </c>
      <c r="D17" s="453">
        <f t="shared" si="4"/>
        <v>1</v>
      </c>
      <c r="E17" s="453">
        <f t="shared" si="4"/>
        <v>1</v>
      </c>
      <c r="F17" s="453">
        <f t="shared" si="4"/>
        <v>1</v>
      </c>
      <c r="G17" s="454">
        <f t="shared" si="4"/>
        <v>1</v>
      </c>
    </row>
    <row r="18" spans="1:7" ht="13" x14ac:dyDescent="0.25">
      <c r="A18" s="455" t="s">
        <v>413</v>
      </c>
      <c r="B18" s="446"/>
      <c r="C18" s="446"/>
      <c r="D18" s="446"/>
      <c r="E18" s="446"/>
      <c r="F18" s="446"/>
      <c r="G18" s="447"/>
    </row>
    <row r="19" spans="1:7" x14ac:dyDescent="0.25">
      <c r="A19" s="456" t="s">
        <v>56</v>
      </c>
      <c r="B19" s="446">
        <f>'Assumption Sheet'!E19</f>
        <v>0</v>
      </c>
      <c r="C19" s="446">
        <f>'Assumption Sheet'!F19</f>
        <v>0</v>
      </c>
      <c r="D19" s="446">
        <f>'Assumption Sheet'!G19</f>
        <v>0</v>
      </c>
      <c r="E19" s="446">
        <f>'Assumption Sheet'!H19</f>
        <v>0</v>
      </c>
      <c r="F19" s="446">
        <f>'Assumption Sheet'!I19</f>
        <v>0</v>
      </c>
      <c r="G19" s="446">
        <f>'Assumption Sheet'!J19</f>
        <v>0</v>
      </c>
    </row>
    <row r="20" spans="1:7" x14ac:dyDescent="0.25">
      <c r="A20" s="441" t="s">
        <v>22</v>
      </c>
      <c r="B20" s="446">
        <f>'Assumption Sheet'!E20</f>
        <v>0</v>
      </c>
      <c r="C20" s="446">
        <f>'Assumption Sheet'!F20</f>
        <v>0</v>
      </c>
      <c r="D20" s="446">
        <f>'Assumption Sheet'!G20</f>
        <v>0</v>
      </c>
      <c r="E20" s="446">
        <f>'Assumption Sheet'!H20</f>
        <v>0</v>
      </c>
      <c r="F20" s="446">
        <f>'Assumption Sheet'!I20</f>
        <v>0</v>
      </c>
      <c r="G20" s="446">
        <f>'Assumption Sheet'!J20</f>
        <v>0</v>
      </c>
    </row>
    <row r="21" spans="1:7" ht="25" x14ac:dyDescent="0.25">
      <c r="A21" s="457" t="s">
        <v>90</v>
      </c>
      <c r="B21" s="446">
        <f>'Assumption Sheet'!E21</f>
        <v>0</v>
      </c>
      <c r="C21" s="446">
        <f>'Assumption Sheet'!F21</f>
        <v>0</v>
      </c>
      <c r="D21" s="446">
        <f>'Assumption Sheet'!G21</f>
        <v>0</v>
      </c>
      <c r="E21" s="446">
        <f>'Assumption Sheet'!H21</f>
        <v>0</v>
      </c>
      <c r="F21" s="446">
        <f>'Assumption Sheet'!I21</f>
        <v>0</v>
      </c>
      <c r="G21" s="446">
        <f>'Assumption Sheet'!J21</f>
        <v>0</v>
      </c>
    </row>
    <row r="22" spans="1:7" ht="25" x14ac:dyDescent="0.25">
      <c r="A22" s="457" t="s">
        <v>23</v>
      </c>
      <c r="B22" s="446">
        <f>'Assumption Sheet'!E22</f>
        <v>0</v>
      </c>
      <c r="C22" s="446">
        <f>'Assumption Sheet'!F22</f>
        <v>0</v>
      </c>
      <c r="D22" s="446">
        <f>'Assumption Sheet'!G22</f>
        <v>0</v>
      </c>
      <c r="E22" s="446">
        <f>'Assumption Sheet'!H22</f>
        <v>0</v>
      </c>
      <c r="F22" s="446">
        <f>'Assumption Sheet'!I22</f>
        <v>0</v>
      </c>
      <c r="G22" s="446">
        <f>'Assumption Sheet'!J22</f>
        <v>0</v>
      </c>
    </row>
    <row r="23" spans="1:7" x14ac:dyDescent="0.25">
      <c r="A23" s="456" t="s">
        <v>24</v>
      </c>
      <c r="B23" s="446">
        <f>'Assumption Sheet'!E23</f>
        <v>0</v>
      </c>
      <c r="C23" s="446">
        <f>'Assumption Sheet'!F23</f>
        <v>0</v>
      </c>
      <c r="D23" s="446">
        <f>'Assumption Sheet'!G23</f>
        <v>0</v>
      </c>
      <c r="E23" s="446">
        <f>'Assumption Sheet'!H23</f>
        <v>0</v>
      </c>
      <c r="F23" s="446">
        <f>'Assumption Sheet'!I23</f>
        <v>0</v>
      </c>
      <c r="G23" s="446">
        <f>'Assumption Sheet'!J23</f>
        <v>0</v>
      </c>
    </row>
    <row r="24" spans="1:7" x14ac:dyDescent="0.25">
      <c r="A24" s="456" t="s">
        <v>25</v>
      </c>
      <c r="B24" s="446">
        <f>'Assumption Sheet'!E24</f>
        <v>0</v>
      </c>
      <c r="C24" s="446">
        <f>'Assumption Sheet'!F24</f>
        <v>0</v>
      </c>
      <c r="D24" s="446">
        <f>'Assumption Sheet'!G24</f>
        <v>0</v>
      </c>
      <c r="E24" s="446">
        <f>'Assumption Sheet'!H24</f>
        <v>0</v>
      </c>
      <c r="F24" s="446">
        <f>'Assumption Sheet'!I24</f>
        <v>0</v>
      </c>
      <c r="G24" s="446">
        <f>'Assumption Sheet'!J24</f>
        <v>0</v>
      </c>
    </row>
    <row r="25" spans="1:7" x14ac:dyDescent="0.25">
      <c r="A25" s="456" t="s">
        <v>26</v>
      </c>
      <c r="B25" s="446">
        <f>'Assumption Sheet'!E25</f>
        <v>0</v>
      </c>
      <c r="C25" s="446">
        <f>'Assumption Sheet'!F25</f>
        <v>0</v>
      </c>
      <c r="D25" s="446">
        <f>'Assumption Sheet'!G25</f>
        <v>0</v>
      </c>
      <c r="E25" s="446">
        <f>'Assumption Sheet'!H25</f>
        <v>0</v>
      </c>
      <c r="F25" s="446">
        <f>'Assumption Sheet'!I25</f>
        <v>0</v>
      </c>
      <c r="G25" s="446">
        <f>'Assumption Sheet'!J25</f>
        <v>0</v>
      </c>
    </row>
    <row r="26" spans="1:7" x14ac:dyDescent="0.25">
      <c r="A26" s="441" t="s">
        <v>27</v>
      </c>
      <c r="B26" s="446">
        <f>'Assumption Sheet'!E26</f>
        <v>0</v>
      </c>
      <c r="C26" s="446">
        <f>'Assumption Sheet'!F26</f>
        <v>0</v>
      </c>
      <c r="D26" s="446">
        <f>'Assumption Sheet'!G26</f>
        <v>0</v>
      </c>
      <c r="E26" s="446">
        <f>'Assumption Sheet'!H26</f>
        <v>0</v>
      </c>
      <c r="F26" s="446">
        <f>'Assumption Sheet'!I26</f>
        <v>0</v>
      </c>
      <c r="G26" s="446">
        <f>'Assumption Sheet'!J26</f>
        <v>0</v>
      </c>
    </row>
    <row r="27" spans="1:7" x14ac:dyDescent="0.25">
      <c r="A27" s="456" t="s">
        <v>51</v>
      </c>
      <c r="B27" s="458">
        <f>'Assumption Sheet'!E27</f>
        <v>0</v>
      </c>
      <c r="C27" s="458">
        <f>C4*'Assumption Sheet'!F27</f>
        <v>0.27525000000000005</v>
      </c>
      <c r="D27" s="458">
        <f>D4*'Assumption Sheet'!G27</f>
        <v>0.36975000000000002</v>
      </c>
      <c r="E27" s="458">
        <f>E4*'Assumption Sheet'!H27</f>
        <v>0.48778750000000004</v>
      </c>
      <c r="F27" s="458">
        <f>F4*'Assumption Sheet'!I27</f>
        <v>0.56980374999999994</v>
      </c>
      <c r="G27" s="458">
        <f>G4*'Assumption Sheet'!J27</f>
        <v>0.66784412500000001</v>
      </c>
    </row>
    <row r="28" spans="1:7" x14ac:dyDescent="0.25">
      <c r="A28" s="456" t="s">
        <v>328</v>
      </c>
      <c r="B28" s="458">
        <f>'Assumption Sheet'!E16</f>
        <v>0</v>
      </c>
      <c r="C28" s="458">
        <f>'Assumption Sheet'!F16</f>
        <v>0</v>
      </c>
      <c r="D28" s="458">
        <f>'Assumption Sheet'!G16</f>
        <v>0</v>
      </c>
      <c r="E28" s="458">
        <f>'Assumption Sheet'!H16</f>
        <v>0</v>
      </c>
      <c r="F28" s="458">
        <f>'Assumption Sheet'!I16</f>
        <v>0</v>
      </c>
      <c r="G28" s="458">
        <f>'Assumption Sheet'!J16</f>
        <v>0</v>
      </c>
    </row>
    <row r="29" spans="1:7" x14ac:dyDescent="0.25">
      <c r="A29" s="460" t="s">
        <v>40</v>
      </c>
      <c r="B29" s="458">
        <f>'Assumption Sheet'!E61</f>
        <v>0</v>
      </c>
      <c r="C29" s="458">
        <f>'Assumption Sheet'!F61</f>
        <v>0</v>
      </c>
      <c r="D29" s="458">
        <f>'Assumption Sheet'!G61</f>
        <v>0</v>
      </c>
      <c r="E29" s="458">
        <f>'Assumption Sheet'!H61</f>
        <v>0</v>
      </c>
      <c r="F29" s="458">
        <f>'Assumption Sheet'!I61</f>
        <v>0</v>
      </c>
      <c r="G29" s="458">
        <f>'Assumption Sheet'!J61</f>
        <v>0</v>
      </c>
    </row>
    <row r="30" spans="1:7" ht="13" x14ac:dyDescent="0.3">
      <c r="A30" s="461" t="s">
        <v>434</v>
      </c>
      <c r="B30" s="462">
        <f>SUM(B19:B29)</f>
        <v>0</v>
      </c>
      <c r="C30" s="462">
        <f t="shared" ref="C30:G30" si="5">SUM(C19:C29)</f>
        <v>0.27525000000000005</v>
      </c>
      <c r="D30" s="462">
        <f t="shared" si="5"/>
        <v>0.36975000000000002</v>
      </c>
      <c r="E30" s="462">
        <f t="shared" si="5"/>
        <v>0.48778750000000004</v>
      </c>
      <c r="F30" s="462">
        <f t="shared" si="5"/>
        <v>0.56980374999999994</v>
      </c>
      <c r="G30" s="462">
        <f t="shared" si="5"/>
        <v>0.66784412500000001</v>
      </c>
    </row>
    <row r="31" spans="1:7" ht="13" x14ac:dyDescent="0.3">
      <c r="A31" s="463" t="s">
        <v>8</v>
      </c>
      <c r="B31" s="450">
        <f>B16-B30</f>
        <v>90.5</v>
      </c>
      <c r="C31" s="450">
        <f t="shared" ref="C31:G31" si="6">C16-C30</f>
        <v>109.82475000000001</v>
      </c>
      <c r="D31" s="450">
        <f t="shared" si="6"/>
        <v>147.53025</v>
      </c>
      <c r="E31" s="450">
        <f t="shared" si="6"/>
        <v>194.62721250000001</v>
      </c>
      <c r="F31" s="450">
        <f t="shared" si="6"/>
        <v>227.35169624999997</v>
      </c>
      <c r="G31" s="450">
        <f t="shared" si="6"/>
        <v>266.46980587500002</v>
      </c>
    </row>
    <row r="32" spans="1:7" ht="13" x14ac:dyDescent="0.3">
      <c r="A32" s="452" t="s">
        <v>329</v>
      </c>
      <c r="B32" s="453">
        <f t="shared" ref="B32:G32" si="7">B31/B6</f>
        <v>1</v>
      </c>
      <c r="C32" s="453">
        <f t="shared" si="7"/>
        <v>0.99750000000000005</v>
      </c>
      <c r="D32" s="453">
        <f t="shared" si="7"/>
        <v>0.99749999999999994</v>
      </c>
      <c r="E32" s="453">
        <f t="shared" si="7"/>
        <v>0.99750000000000005</v>
      </c>
      <c r="F32" s="453">
        <f t="shared" si="7"/>
        <v>0.99749999999999994</v>
      </c>
      <c r="G32" s="454">
        <f t="shared" si="7"/>
        <v>0.99750000000000005</v>
      </c>
    </row>
    <row r="33" spans="1:7" x14ac:dyDescent="0.25">
      <c r="A33" s="460" t="s">
        <v>330</v>
      </c>
      <c r="B33" s="458">
        <f>'Depreciation Sch'!C16</f>
        <v>0</v>
      </c>
      <c r="C33" s="432">
        <f>'Depreciation Sch'!F16</f>
        <v>0</v>
      </c>
      <c r="D33" s="464">
        <f>'Depreciation Sch'!I16</f>
        <v>0</v>
      </c>
      <c r="E33" s="464">
        <f>'Depreciation Sch'!L16</f>
        <v>0</v>
      </c>
      <c r="F33" s="464">
        <f>'Depreciation Sch'!O16</f>
        <v>0</v>
      </c>
      <c r="G33" s="465">
        <f>'Depreciation Sch'!R16</f>
        <v>0</v>
      </c>
    </row>
    <row r="34" spans="1:7" ht="13" x14ac:dyDescent="0.3">
      <c r="A34" s="463" t="s">
        <v>10</v>
      </c>
      <c r="B34" s="450">
        <f t="shared" ref="B34:G34" si="8">B31-B33</f>
        <v>90.5</v>
      </c>
      <c r="C34" s="450">
        <f t="shared" si="8"/>
        <v>109.82475000000001</v>
      </c>
      <c r="D34" s="450">
        <f t="shared" si="8"/>
        <v>147.53025</v>
      </c>
      <c r="E34" s="450">
        <f t="shared" si="8"/>
        <v>194.62721250000001</v>
      </c>
      <c r="F34" s="450">
        <f t="shared" si="8"/>
        <v>227.35169624999997</v>
      </c>
      <c r="G34" s="451">
        <f t="shared" si="8"/>
        <v>266.46980587500002</v>
      </c>
    </row>
    <row r="35" spans="1:7" ht="13" x14ac:dyDescent="0.3">
      <c r="A35" s="466" t="s">
        <v>331</v>
      </c>
      <c r="B35" s="453">
        <f t="shared" ref="B35:G35" si="9">B34/B6</f>
        <v>1</v>
      </c>
      <c r="C35" s="453">
        <f t="shared" si="9"/>
        <v>0.99750000000000005</v>
      </c>
      <c r="D35" s="453">
        <f t="shared" si="9"/>
        <v>0.99749999999999994</v>
      </c>
      <c r="E35" s="453">
        <f t="shared" si="9"/>
        <v>0.99750000000000005</v>
      </c>
      <c r="F35" s="453">
        <f t="shared" si="9"/>
        <v>0.99749999999999994</v>
      </c>
      <c r="G35" s="454">
        <f t="shared" si="9"/>
        <v>0.99750000000000005</v>
      </c>
    </row>
    <row r="36" spans="1:7" x14ac:dyDescent="0.25">
      <c r="A36" s="460" t="s">
        <v>96</v>
      </c>
      <c r="B36" s="458">
        <f>'Loans Breakdown'!B15</f>
        <v>0</v>
      </c>
      <c r="C36" s="458">
        <f>'Loans Breakdown'!C15</f>
        <v>0</v>
      </c>
      <c r="D36" s="458">
        <f>'Loans Breakdown'!D15</f>
        <v>0</v>
      </c>
      <c r="E36" s="458">
        <f>'Loans Breakdown'!E15</f>
        <v>0</v>
      </c>
      <c r="F36" s="458">
        <f>'Loans Breakdown'!F15</f>
        <v>0</v>
      </c>
      <c r="G36" s="459">
        <f>'Loans Breakdown'!G15</f>
        <v>0</v>
      </c>
    </row>
    <row r="37" spans="1:7" ht="13" x14ac:dyDescent="0.3">
      <c r="A37" s="463" t="s">
        <v>332</v>
      </c>
      <c r="B37" s="450">
        <f t="shared" ref="B37:G37" si="10">B34-B36</f>
        <v>90.5</v>
      </c>
      <c r="C37" s="450">
        <f t="shared" si="10"/>
        <v>109.82475000000001</v>
      </c>
      <c r="D37" s="450">
        <f t="shared" si="10"/>
        <v>147.53025</v>
      </c>
      <c r="E37" s="450">
        <f t="shared" si="10"/>
        <v>194.62721250000001</v>
      </c>
      <c r="F37" s="450">
        <f t="shared" si="10"/>
        <v>227.35169624999997</v>
      </c>
      <c r="G37" s="451">
        <f t="shared" si="10"/>
        <v>266.46980587500002</v>
      </c>
    </row>
    <row r="38" spans="1:7" ht="13" x14ac:dyDescent="0.3">
      <c r="A38" s="452" t="s">
        <v>333</v>
      </c>
      <c r="B38" s="453">
        <f t="shared" ref="B38:G38" si="11">B37/B6</f>
        <v>1</v>
      </c>
      <c r="C38" s="453">
        <f t="shared" si="11"/>
        <v>0.99750000000000005</v>
      </c>
      <c r="D38" s="453">
        <f t="shared" si="11"/>
        <v>0.99749999999999994</v>
      </c>
      <c r="E38" s="453">
        <f t="shared" si="11"/>
        <v>0.99750000000000005</v>
      </c>
      <c r="F38" s="453">
        <f t="shared" si="11"/>
        <v>0.99749999999999994</v>
      </c>
      <c r="G38" s="454">
        <f t="shared" si="11"/>
        <v>0.99750000000000005</v>
      </c>
    </row>
    <row r="39" spans="1:7" x14ac:dyDescent="0.25">
      <c r="A39" s="460" t="s">
        <v>334</v>
      </c>
      <c r="B39" s="432">
        <f>B37*Val_DCF!$D$40</f>
        <v>23.53</v>
      </c>
      <c r="C39" s="432">
        <f>C37*Val_DCF!$D$40</f>
        <v>28.554435000000002</v>
      </c>
      <c r="D39" s="432">
        <f>D37*Val_DCF!$D$40</f>
        <v>38.357864999999997</v>
      </c>
      <c r="E39" s="432">
        <f>E37*Val_DCF!$D$40</f>
        <v>50.603075250000003</v>
      </c>
      <c r="F39" s="432">
        <f>F37*Val_DCF!$D$40</f>
        <v>59.111441024999998</v>
      </c>
      <c r="G39" s="433">
        <f>G37*Val_DCF!$D$40</f>
        <v>69.28214952750001</v>
      </c>
    </row>
    <row r="40" spans="1:7" ht="13" x14ac:dyDescent="0.3">
      <c r="A40" s="463" t="s">
        <v>112</v>
      </c>
      <c r="B40" s="450">
        <f t="shared" ref="B40:G40" si="12">B37-B39</f>
        <v>66.97</v>
      </c>
      <c r="C40" s="450">
        <f t="shared" si="12"/>
        <v>81.270315000000011</v>
      </c>
      <c r="D40" s="450">
        <f t="shared" si="12"/>
        <v>109.17238499999999</v>
      </c>
      <c r="E40" s="450">
        <f t="shared" si="12"/>
        <v>144.02413725000002</v>
      </c>
      <c r="F40" s="450">
        <f t="shared" si="12"/>
        <v>168.24025522499997</v>
      </c>
      <c r="G40" s="451">
        <f t="shared" si="12"/>
        <v>197.18765634750002</v>
      </c>
    </row>
    <row r="41" spans="1:7" ht="13.5" thickBot="1" x14ac:dyDescent="0.35">
      <c r="A41" s="467" t="s">
        <v>335</v>
      </c>
      <c r="B41" s="468">
        <f t="shared" ref="B41:G41" si="13">B40/B6</f>
        <v>0.74</v>
      </c>
      <c r="C41" s="468">
        <f t="shared" si="13"/>
        <v>0.73815000000000008</v>
      </c>
      <c r="D41" s="468">
        <f t="shared" si="13"/>
        <v>0.73814999999999986</v>
      </c>
      <c r="E41" s="468">
        <f t="shared" si="13"/>
        <v>0.73815000000000008</v>
      </c>
      <c r="F41" s="468">
        <f t="shared" si="13"/>
        <v>0.73814999999999997</v>
      </c>
      <c r="G41" s="469">
        <f t="shared" si="13"/>
        <v>0.73815000000000008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45"/>
  <sheetViews>
    <sheetView workbookViewId="0">
      <selection activeCell="C16" sqref="C16"/>
    </sheetView>
  </sheetViews>
  <sheetFormatPr defaultColWidth="9.1796875" defaultRowHeight="12.5" x14ac:dyDescent="0.25"/>
  <cols>
    <col min="1" max="1" width="4" style="22" customWidth="1"/>
    <col min="2" max="2" width="39.453125" style="22" bestFit="1" customWidth="1"/>
    <col min="3" max="3" width="20.08984375" style="22" customWidth="1"/>
    <col min="4" max="4" width="18" style="22" customWidth="1"/>
    <col min="5" max="5" width="14.26953125" style="22" bestFit="1" customWidth="1"/>
    <col min="6" max="9" width="15" style="22" bestFit="1" customWidth="1"/>
    <col min="10" max="16384" width="9.1796875" style="22"/>
  </cols>
  <sheetData>
    <row r="1" spans="1:9" ht="13" thickBot="1" x14ac:dyDescent="0.3">
      <c r="A1" s="358"/>
      <c r="B1" s="359" t="s">
        <v>309</v>
      </c>
      <c r="C1" s="359"/>
      <c r="D1" s="347"/>
      <c r="E1" s="347"/>
      <c r="F1" s="347"/>
      <c r="G1" s="347"/>
      <c r="H1" s="347"/>
      <c r="I1" s="360" t="s">
        <v>337</v>
      </c>
    </row>
    <row r="2" spans="1:9" ht="13" thickBot="1" x14ac:dyDescent="0.3">
      <c r="A2" s="353"/>
      <c r="B2" s="349"/>
      <c r="C2" s="349"/>
      <c r="D2" s="349"/>
      <c r="E2" s="349"/>
      <c r="F2" s="349"/>
      <c r="G2" s="349"/>
      <c r="H2" s="349"/>
      <c r="I2" s="350"/>
    </row>
    <row r="3" spans="1:9" x14ac:dyDescent="0.25">
      <c r="A3" s="361"/>
      <c r="B3" s="352"/>
      <c r="C3" s="723" t="s">
        <v>276</v>
      </c>
      <c r="D3" s="684" t="s">
        <v>277</v>
      </c>
      <c r="E3" s="363" t="s">
        <v>317</v>
      </c>
      <c r="F3" s="363" t="s">
        <v>318</v>
      </c>
      <c r="G3" s="363" t="s">
        <v>319</v>
      </c>
      <c r="H3" s="363" t="s">
        <v>320</v>
      </c>
      <c r="I3" s="364" t="s">
        <v>321</v>
      </c>
    </row>
    <row r="4" spans="1:9" x14ac:dyDescent="0.25">
      <c r="A4" s="361"/>
      <c r="B4" s="365" t="s">
        <v>338</v>
      </c>
      <c r="C4" s="724"/>
      <c r="D4" s="697"/>
      <c r="E4" s="30"/>
      <c r="F4" s="30"/>
      <c r="G4" s="30"/>
      <c r="H4" s="30"/>
      <c r="I4" s="348"/>
    </row>
    <row r="5" spans="1:9" x14ac:dyDescent="0.25">
      <c r="A5" s="361"/>
      <c r="B5" s="366" t="s">
        <v>339</v>
      </c>
      <c r="C5" s="713"/>
      <c r="D5" s="354">
        <f t="shared" ref="D5:I5" si="0">SUM(D6:D7)</f>
        <v>0</v>
      </c>
      <c r="E5" s="354">
        <f t="shared" si="0"/>
        <v>81.270315000000011</v>
      </c>
      <c r="F5" s="354">
        <f t="shared" si="0"/>
        <v>190.4427</v>
      </c>
      <c r="G5" s="354">
        <f t="shared" si="0"/>
        <v>334.46683725000003</v>
      </c>
      <c r="H5" s="354">
        <f t="shared" si="0"/>
        <v>502.70709247499997</v>
      </c>
      <c r="I5" s="356">
        <f t="shared" si="0"/>
        <v>699.89474882249999</v>
      </c>
    </row>
    <row r="6" spans="1:9" x14ac:dyDescent="0.25">
      <c r="A6" s="361"/>
      <c r="B6" s="367" t="s">
        <v>419</v>
      </c>
      <c r="C6" s="714"/>
      <c r="D6" s="385"/>
      <c r="E6" s="368">
        <f>D6+E45</f>
        <v>0</v>
      </c>
      <c r="F6" s="368">
        <f t="shared" ref="F6:I6" si="1">E6+F45</f>
        <v>0</v>
      </c>
      <c r="G6" s="368">
        <f t="shared" si="1"/>
        <v>0</v>
      </c>
      <c r="H6" s="368">
        <f t="shared" si="1"/>
        <v>0</v>
      </c>
      <c r="I6" s="368">
        <f t="shared" si="1"/>
        <v>0</v>
      </c>
    </row>
    <row r="7" spans="1:9" x14ac:dyDescent="0.25">
      <c r="A7" s="361"/>
      <c r="B7" s="367" t="s">
        <v>340</v>
      </c>
      <c r="C7" s="714"/>
      <c r="D7" s="385"/>
      <c r="E7" s="369">
        <f>D7+'Profit&amp;Loss'!C40</f>
        <v>81.270315000000011</v>
      </c>
      <c r="F7" s="369">
        <f>E7+'Profit&amp;Loss'!D40</f>
        <v>190.4427</v>
      </c>
      <c r="G7" s="369">
        <f>F7+'Profit&amp;Loss'!E40</f>
        <v>334.46683725000003</v>
      </c>
      <c r="H7" s="369">
        <f>G7+'Profit&amp;Loss'!F40</f>
        <v>502.70709247499997</v>
      </c>
      <c r="I7" s="370">
        <f>H7+'Profit&amp;Loss'!G40</f>
        <v>699.89474882249999</v>
      </c>
    </row>
    <row r="8" spans="1:9" ht="25" x14ac:dyDescent="0.25">
      <c r="A8" s="361"/>
      <c r="B8" s="675" t="s">
        <v>341</v>
      </c>
      <c r="C8" s="715"/>
      <c r="D8" s="369">
        <v>0</v>
      </c>
      <c r="E8" s="369">
        <v>0</v>
      </c>
      <c r="F8" s="369">
        <v>0</v>
      </c>
      <c r="G8" s="369">
        <v>0</v>
      </c>
      <c r="H8" s="369">
        <v>0</v>
      </c>
      <c r="I8" s="370">
        <v>0</v>
      </c>
    </row>
    <row r="9" spans="1:9" x14ac:dyDescent="0.25">
      <c r="A9" s="361"/>
      <c r="B9" s="689" t="s">
        <v>342</v>
      </c>
      <c r="C9" s="716"/>
      <c r="D9" s="690">
        <f t="shared" ref="D9:I9" si="2">SUM(D10:D13)</f>
        <v>0</v>
      </c>
      <c r="E9" s="690">
        <f t="shared" si="2"/>
        <v>0</v>
      </c>
      <c r="F9" s="690">
        <f t="shared" si="2"/>
        <v>0</v>
      </c>
      <c r="G9" s="690">
        <f t="shared" si="2"/>
        <v>0</v>
      </c>
      <c r="H9" s="690">
        <f t="shared" si="2"/>
        <v>0</v>
      </c>
      <c r="I9" s="691">
        <f t="shared" si="2"/>
        <v>0</v>
      </c>
    </row>
    <row r="10" spans="1:9" x14ac:dyDescent="0.25">
      <c r="A10" s="361"/>
      <c r="B10" s="367" t="s">
        <v>343</v>
      </c>
      <c r="C10" s="714"/>
      <c r="D10" s="385"/>
      <c r="E10" s="369">
        <f>'Loans Breakdown'!B4+'Loans Breakdown'!B5+'Loans Breakdown'!B6</f>
        <v>0</v>
      </c>
      <c r="F10" s="369">
        <f>'Loans Breakdown'!C4+'Loans Breakdown'!C5+'Loans Breakdown'!C6</f>
        <v>0</v>
      </c>
      <c r="G10" s="369">
        <f>'Loans Breakdown'!D4+'Loans Breakdown'!D5+'Loans Breakdown'!D6</f>
        <v>0</v>
      </c>
      <c r="H10" s="369">
        <f>'Loans Breakdown'!E4+'Loans Breakdown'!E5+'Loans Breakdown'!E6</f>
        <v>0</v>
      </c>
      <c r="I10" s="370">
        <f>'Loans Breakdown'!F4+'Loans Breakdown'!F5+'Loans Breakdown'!F6</f>
        <v>0</v>
      </c>
    </row>
    <row r="11" spans="1:9" x14ac:dyDescent="0.25">
      <c r="A11" s="361"/>
      <c r="B11" s="367" t="s">
        <v>344</v>
      </c>
      <c r="C11" s="714"/>
      <c r="D11" s="385"/>
      <c r="E11" s="369"/>
      <c r="F11" s="369"/>
      <c r="G11" s="369"/>
      <c r="H11" s="369"/>
      <c r="I11" s="370"/>
    </row>
    <row r="12" spans="1:9" x14ac:dyDescent="0.25">
      <c r="A12" s="361"/>
      <c r="B12" s="367" t="s">
        <v>345</v>
      </c>
      <c r="C12" s="714"/>
      <c r="D12" s="385"/>
      <c r="E12" s="369"/>
      <c r="F12" s="369"/>
      <c r="G12" s="369"/>
      <c r="H12" s="369"/>
      <c r="I12" s="370"/>
    </row>
    <row r="13" spans="1:9" x14ac:dyDescent="0.25">
      <c r="A13" s="361"/>
      <c r="B13" s="367" t="s">
        <v>346</v>
      </c>
      <c r="C13" s="714"/>
      <c r="D13" s="385"/>
      <c r="E13" s="369"/>
      <c r="F13" s="369"/>
      <c r="G13" s="369"/>
      <c r="H13" s="369"/>
      <c r="I13" s="370"/>
    </row>
    <row r="14" spans="1:9" x14ac:dyDescent="0.25">
      <c r="A14" s="361"/>
      <c r="B14" s="689" t="s">
        <v>347</v>
      </c>
      <c r="C14" s="716"/>
      <c r="D14" s="690">
        <f t="shared" ref="D14:I14" si="3">SUM(D15:D19)</f>
        <v>0</v>
      </c>
      <c r="E14" s="690">
        <f t="shared" si="3"/>
        <v>0</v>
      </c>
      <c r="F14" s="690">
        <f t="shared" si="3"/>
        <v>0</v>
      </c>
      <c r="G14" s="690">
        <f t="shared" si="3"/>
        <v>0</v>
      </c>
      <c r="H14" s="690">
        <f t="shared" si="3"/>
        <v>0</v>
      </c>
      <c r="I14" s="691">
        <f t="shared" si="3"/>
        <v>0</v>
      </c>
    </row>
    <row r="15" spans="1:9" x14ac:dyDescent="0.25">
      <c r="A15" s="361"/>
      <c r="B15" s="367" t="s">
        <v>348</v>
      </c>
      <c r="C15" s="714"/>
      <c r="D15" s="385"/>
      <c r="E15" s="369">
        <f>'Loans Breakdown'!B7</f>
        <v>0</v>
      </c>
      <c r="F15" s="369">
        <f>'Loans Breakdown'!C7</f>
        <v>0</v>
      </c>
      <c r="G15" s="369">
        <f>'Loans Breakdown'!D7</f>
        <v>0</v>
      </c>
      <c r="H15" s="369">
        <f>'Loans Breakdown'!E7</f>
        <v>0</v>
      </c>
      <c r="I15" s="370">
        <f>'Loans Breakdown'!F7</f>
        <v>0</v>
      </c>
    </row>
    <row r="16" spans="1:9" x14ac:dyDescent="0.25">
      <c r="A16" s="361"/>
      <c r="B16" s="367" t="s">
        <v>349</v>
      </c>
      <c r="C16" s="714"/>
      <c r="D16" s="385"/>
      <c r="E16" s="369"/>
      <c r="F16" s="369"/>
      <c r="G16" s="369"/>
      <c r="H16" s="369"/>
      <c r="I16" s="370"/>
    </row>
    <row r="17" spans="1:9" x14ac:dyDescent="0.25">
      <c r="A17" s="361"/>
      <c r="B17" s="367" t="s">
        <v>350</v>
      </c>
      <c r="C17" s="714"/>
      <c r="D17" s="385"/>
      <c r="E17" s="369"/>
      <c r="F17" s="369"/>
      <c r="G17" s="369"/>
      <c r="H17" s="369"/>
      <c r="I17" s="370"/>
    </row>
    <row r="18" spans="1:9" x14ac:dyDescent="0.25">
      <c r="A18" s="361"/>
      <c r="B18" s="367" t="s">
        <v>58</v>
      </c>
      <c r="C18" s="714"/>
      <c r="D18" s="385"/>
      <c r="E18" s="369"/>
      <c r="F18" s="369"/>
      <c r="G18" s="369"/>
      <c r="H18" s="369"/>
      <c r="I18" s="370"/>
    </row>
    <row r="19" spans="1:9" x14ac:dyDescent="0.25">
      <c r="A19" s="361"/>
      <c r="B19" s="367" t="s">
        <v>351</v>
      </c>
      <c r="C19" s="714"/>
      <c r="D19" s="385"/>
      <c r="E19" s="369"/>
      <c r="F19" s="369"/>
      <c r="G19" s="369"/>
      <c r="H19" s="369"/>
      <c r="I19" s="370"/>
    </row>
    <row r="20" spans="1:9" s="24" customFormat="1" x14ac:dyDescent="0.25">
      <c r="A20" s="371"/>
      <c r="B20" s="372" t="s">
        <v>16</v>
      </c>
      <c r="C20" s="717"/>
      <c r="D20" s="373">
        <f t="shared" ref="D20:I20" si="4">D5+D8+D9+D14</f>
        <v>0</v>
      </c>
      <c r="E20" s="373">
        <f t="shared" si="4"/>
        <v>81.270315000000011</v>
      </c>
      <c r="F20" s="373">
        <f t="shared" si="4"/>
        <v>190.4427</v>
      </c>
      <c r="G20" s="373">
        <f t="shared" si="4"/>
        <v>334.46683725000003</v>
      </c>
      <c r="H20" s="373">
        <f t="shared" si="4"/>
        <v>502.70709247499997</v>
      </c>
      <c r="I20" s="374">
        <f t="shared" si="4"/>
        <v>699.89474882249999</v>
      </c>
    </row>
    <row r="21" spans="1:9" x14ac:dyDescent="0.25">
      <c r="A21" s="361"/>
      <c r="B21" s="365" t="s">
        <v>352</v>
      </c>
      <c r="C21" s="724"/>
      <c r="D21" s="697"/>
      <c r="E21" s="375"/>
      <c r="F21" s="375"/>
      <c r="G21" s="375"/>
      <c r="H21" s="375"/>
      <c r="I21" s="376"/>
    </row>
    <row r="22" spans="1:9" x14ac:dyDescent="0.25">
      <c r="A22" s="361"/>
      <c r="B22" s="366" t="s">
        <v>353</v>
      </c>
      <c r="C22" s="713"/>
      <c r="D22" s="698"/>
      <c r="E22" s="375"/>
      <c r="F22" s="375"/>
      <c r="G22" s="375"/>
      <c r="H22" s="375"/>
      <c r="I22" s="376"/>
    </row>
    <row r="23" spans="1:9" s="24" customFormat="1" x14ac:dyDescent="0.25">
      <c r="A23" s="371"/>
      <c r="B23" s="366" t="s">
        <v>354</v>
      </c>
      <c r="C23" s="713"/>
      <c r="D23" s="698">
        <f>'Depreciation Sch'!C14</f>
        <v>0</v>
      </c>
      <c r="E23" s="336">
        <f>'Depreciation Sch'!G14</f>
        <v>0</v>
      </c>
      <c r="F23" s="336">
        <f>'Depreciation Sch'!J14</f>
        <v>0</v>
      </c>
      <c r="G23" s="336">
        <f>'Depreciation Sch'!M14</f>
        <v>0</v>
      </c>
      <c r="H23" s="336">
        <f>'Depreciation Sch'!P14</f>
        <v>0</v>
      </c>
      <c r="I23" s="700">
        <f>'Depreciation Sch'!S14</f>
        <v>0</v>
      </c>
    </row>
    <row r="24" spans="1:9" x14ac:dyDescent="0.25">
      <c r="A24" s="361"/>
      <c r="B24" s="367" t="s">
        <v>424</v>
      </c>
      <c r="C24" s="714"/>
      <c r="D24" s="385"/>
      <c r="E24" s="355"/>
      <c r="F24" s="355"/>
      <c r="G24" s="355"/>
      <c r="H24" s="355"/>
      <c r="I24" s="357"/>
    </row>
    <row r="25" spans="1:9" x14ac:dyDescent="0.25">
      <c r="A25" s="361"/>
      <c r="B25" s="689" t="s">
        <v>355</v>
      </c>
      <c r="C25" s="716"/>
      <c r="D25" s="699"/>
      <c r="E25" s="692"/>
      <c r="F25" s="692"/>
      <c r="G25" s="692"/>
      <c r="H25" s="692"/>
      <c r="I25" s="693"/>
    </row>
    <row r="26" spans="1:9" x14ac:dyDescent="0.25">
      <c r="A26" s="361"/>
      <c r="B26" s="367" t="s">
        <v>356</v>
      </c>
      <c r="C26" s="714"/>
      <c r="D26" s="385"/>
      <c r="E26" s="355">
        <f>0</f>
        <v>0</v>
      </c>
      <c r="F26" s="355">
        <f>0</f>
        <v>0</v>
      </c>
      <c r="G26" s="355">
        <f>0</f>
        <v>0</v>
      </c>
      <c r="H26" s="355">
        <f>0</f>
        <v>0</v>
      </c>
      <c r="I26" s="357">
        <f>0</f>
        <v>0</v>
      </c>
    </row>
    <row r="27" spans="1:9" x14ac:dyDescent="0.25">
      <c r="A27" s="361"/>
      <c r="B27" s="367" t="s">
        <v>357</v>
      </c>
      <c r="C27" s="714"/>
      <c r="D27" s="385"/>
      <c r="E27" s="355"/>
      <c r="F27" s="355"/>
      <c r="G27" s="355"/>
      <c r="H27" s="355"/>
      <c r="I27" s="357"/>
    </row>
    <row r="28" spans="1:9" x14ac:dyDescent="0.25">
      <c r="A28" s="361"/>
      <c r="B28" s="367" t="s">
        <v>358</v>
      </c>
      <c r="C28" s="714"/>
      <c r="D28" s="385"/>
      <c r="E28" s="355">
        <f>0</f>
        <v>0</v>
      </c>
      <c r="F28" s="355">
        <f>0</f>
        <v>0</v>
      </c>
      <c r="G28" s="355">
        <f>0</f>
        <v>0</v>
      </c>
      <c r="H28" s="355">
        <f>0</f>
        <v>0</v>
      </c>
      <c r="I28" s="357">
        <f>0</f>
        <v>0</v>
      </c>
    </row>
    <row r="29" spans="1:9" x14ac:dyDescent="0.25">
      <c r="A29" s="361"/>
      <c r="B29" s="689" t="s">
        <v>359</v>
      </c>
      <c r="C29" s="716"/>
      <c r="D29" s="690">
        <f t="shared" ref="D29:I29" si="5">SUM(D30:D35)</f>
        <v>0</v>
      </c>
      <c r="E29" s="690">
        <f t="shared" si="5"/>
        <v>6.0328767123287674</v>
      </c>
      <c r="F29" s="690">
        <f t="shared" si="5"/>
        <v>8.1041095890410961</v>
      </c>
      <c r="G29" s="690">
        <f t="shared" si="5"/>
        <v>8.018424657534247</v>
      </c>
      <c r="H29" s="690">
        <f t="shared" si="5"/>
        <v>9.3666369863013692</v>
      </c>
      <c r="I29" s="691">
        <f t="shared" si="5"/>
        <v>10.978259589041096</v>
      </c>
    </row>
    <row r="30" spans="1:9" x14ac:dyDescent="0.25">
      <c r="A30" s="361"/>
      <c r="B30" s="367" t="s">
        <v>360</v>
      </c>
      <c r="C30" s="714"/>
      <c r="D30" s="385"/>
      <c r="E30" s="369"/>
      <c r="F30" s="369"/>
      <c r="G30" s="369"/>
      <c r="H30" s="369"/>
      <c r="I30" s="370"/>
    </row>
    <row r="31" spans="1:9" x14ac:dyDescent="0.25">
      <c r="A31" s="361"/>
      <c r="B31" s="367" t="s">
        <v>14</v>
      </c>
      <c r="C31" s="714"/>
      <c r="D31" s="385">
        <f>WC!C4</f>
        <v>0</v>
      </c>
      <c r="E31" s="385">
        <f>WC!D4</f>
        <v>0</v>
      </c>
      <c r="F31" s="385">
        <f>WC!E4</f>
        <v>0</v>
      </c>
      <c r="G31" s="385">
        <f>WC!F4</f>
        <v>0</v>
      </c>
      <c r="H31" s="385">
        <f>WC!G4</f>
        <v>0</v>
      </c>
      <c r="I31" s="386">
        <f>WC!H4</f>
        <v>0</v>
      </c>
    </row>
    <row r="32" spans="1:9" x14ac:dyDescent="0.25">
      <c r="A32" s="361"/>
      <c r="B32" s="367" t="s">
        <v>361</v>
      </c>
      <c r="C32" s="714"/>
      <c r="D32" s="385">
        <f>WC!C5</f>
        <v>0</v>
      </c>
      <c r="E32" s="385">
        <f>WC!D5</f>
        <v>6.0328767123287674</v>
      </c>
      <c r="F32" s="385">
        <f>WC!E5</f>
        <v>8.1041095890410961</v>
      </c>
      <c r="G32" s="385">
        <f>WC!F5</f>
        <v>8.018424657534247</v>
      </c>
      <c r="H32" s="385">
        <f>WC!G5</f>
        <v>9.3666369863013692</v>
      </c>
      <c r="I32" s="386">
        <f>WC!H5</f>
        <v>10.978259589041096</v>
      </c>
    </row>
    <row r="33" spans="1:9" x14ac:dyDescent="0.25">
      <c r="A33" s="361"/>
      <c r="B33" s="367" t="s">
        <v>362</v>
      </c>
      <c r="C33" s="714"/>
      <c r="D33" s="385">
        <f>WC!C6</f>
        <v>0</v>
      </c>
      <c r="E33" s="385">
        <f>WC!D6</f>
        <v>0</v>
      </c>
      <c r="F33" s="385">
        <f>WC!E6</f>
        <v>0</v>
      </c>
      <c r="G33" s="385">
        <f>WC!F6</f>
        <v>0</v>
      </c>
      <c r="H33" s="385">
        <f>WC!G6</f>
        <v>0</v>
      </c>
      <c r="I33" s="386">
        <f>WC!H6</f>
        <v>0</v>
      </c>
    </row>
    <row r="34" spans="1:9" x14ac:dyDescent="0.25">
      <c r="A34" s="361"/>
      <c r="B34" s="367" t="s">
        <v>363</v>
      </c>
      <c r="C34" s="714"/>
      <c r="D34" s="385"/>
      <c r="E34" s="369"/>
      <c r="F34" s="369"/>
      <c r="G34" s="369"/>
      <c r="H34" s="369"/>
      <c r="I34" s="370"/>
    </row>
    <row r="35" spans="1:9" x14ac:dyDescent="0.25">
      <c r="A35" s="361"/>
      <c r="B35" s="367" t="s">
        <v>364</v>
      </c>
      <c r="C35" s="714"/>
      <c r="D35" s="385"/>
      <c r="E35" s="369"/>
      <c r="F35" s="369"/>
      <c r="G35" s="369"/>
      <c r="H35" s="369"/>
      <c r="I35" s="370"/>
    </row>
    <row r="36" spans="1:9" s="24" customFormat="1" ht="13" thickBot="1" x14ac:dyDescent="0.3">
      <c r="A36" s="377"/>
      <c r="B36" s="378" t="s">
        <v>16</v>
      </c>
      <c r="C36" s="718"/>
      <c r="D36" s="379">
        <f>D23+D27+D29+D24+D26+D28</f>
        <v>0</v>
      </c>
      <c r="E36" s="379">
        <f t="shared" ref="E36:I36" si="6">E23+E27+E29+E24+E26+E28</f>
        <v>6.0328767123287674</v>
      </c>
      <c r="F36" s="379">
        <f t="shared" si="6"/>
        <v>8.1041095890410961</v>
      </c>
      <c r="G36" s="379">
        <f t="shared" si="6"/>
        <v>8.018424657534247</v>
      </c>
      <c r="H36" s="379">
        <f t="shared" si="6"/>
        <v>9.3666369863013692</v>
      </c>
      <c r="I36" s="701">
        <f t="shared" si="6"/>
        <v>10.978259589041096</v>
      </c>
    </row>
    <row r="37" spans="1:9" x14ac:dyDescent="0.25">
      <c r="E37" s="380"/>
      <c r="F37" s="380"/>
      <c r="G37" s="380"/>
      <c r="H37" s="380"/>
      <c r="I37" s="380"/>
    </row>
    <row r="38" spans="1:9" x14ac:dyDescent="0.25">
      <c r="D38" s="380">
        <f t="shared" ref="D38:I38" si="7">D20-D36</f>
        <v>0</v>
      </c>
      <c r="E38" s="380">
        <f t="shared" si="7"/>
        <v>75.237438287671239</v>
      </c>
      <c r="F38" s="380">
        <f t="shared" si="7"/>
        <v>182.33859041095891</v>
      </c>
      <c r="G38" s="380">
        <f t="shared" si="7"/>
        <v>326.44841259246579</v>
      </c>
      <c r="H38" s="380">
        <f t="shared" si="7"/>
        <v>493.34045548869858</v>
      </c>
      <c r="I38" s="380">
        <f t="shared" si="7"/>
        <v>688.91648923345895</v>
      </c>
    </row>
    <row r="39" spans="1:9" ht="13" thickBot="1" x14ac:dyDescent="0.3"/>
    <row r="40" spans="1:9" x14ac:dyDescent="0.25">
      <c r="B40" s="381" t="s">
        <v>365</v>
      </c>
      <c r="C40" s="719"/>
      <c r="D40" s="347"/>
      <c r="E40" s="347"/>
      <c r="F40" s="347"/>
      <c r="G40" s="347"/>
      <c r="H40" s="347"/>
      <c r="I40" s="382"/>
    </row>
    <row r="41" spans="1:9" x14ac:dyDescent="0.25">
      <c r="B41" s="353" t="s">
        <v>15</v>
      </c>
      <c r="C41" s="720"/>
      <c r="D41" s="383">
        <f t="shared" ref="D41:I41" si="8">D29-D33</f>
        <v>0</v>
      </c>
      <c r="E41" s="383">
        <f t="shared" si="8"/>
        <v>6.0328767123287674</v>
      </c>
      <c r="F41" s="383">
        <f t="shared" si="8"/>
        <v>8.1041095890410961</v>
      </c>
      <c r="G41" s="383">
        <f t="shared" si="8"/>
        <v>8.018424657534247</v>
      </c>
      <c r="H41" s="383">
        <f t="shared" si="8"/>
        <v>9.3666369863013692</v>
      </c>
      <c r="I41" s="384">
        <f t="shared" si="8"/>
        <v>10.978259589041096</v>
      </c>
    </row>
    <row r="42" spans="1:9" x14ac:dyDescent="0.25">
      <c r="B42" s="353" t="s">
        <v>366</v>
      </c>
      <c r="C42" s="720"/>
      <c r="D42" s="385">
        <f>D14</f>
        <v>0</v>
      </c>
      <c r="E42" s="385">
        <f>E17</f>
        <v>0</v>
      </c>
      <c r="F42" s="385">
        <f>F17</f>
        <v>0</v>
      </c>
      <c r="G42" s="385">
        <f>G17</f>
        <v>0</v>
      </c>
      <c r="H42" s="385">
        <f>H17</f>
        <v>0</v>
      </c>
      <c r="I42" s="386">
        <f>I17</f>
        <v>0</v>
      </c>
    </row>
    <row r="43" spans="1:9" ht="13" thickBot="1" x14ac:dyDescent="0.3">
      <c r="B43" s="351"/>
      <c r="C43" s="721"/>
      <c r="D43" s="387">
        <f>D41-D42</f>
        <v>0</v>
      </c>
      <c r="E43" s="387">
        <f t="shared" ref="E43:I43" si="9">E41-E42</f>
        <v>6.0328767123287674</v>
      </c>
      <c r="F43" s="387">
        <f t="shared" si="9"/>
        <v>8.1041095890410961</v>
      </c>
      <c r="G43" s="387">
        <f t="shared" si="9"/>
        <v>8.018424657534247</v>
      </c>
      <c r="H43" s="387">
        <f t="shared" si="9"/>
        <v>9.3666369863013692</v>
      </c>
      <c r="I43" s="388">
        <f t="shared" si="9"/>
        <v>10.978259589041096</v>
      </c>
    </row>
    <row r="44" spans="1:9" ht="13" thickBot="1" x14ac:dyDescent="0.3"/>
    <row r="45" spans="1:9" ht="13" thickBot="1" x14ac:dyDescent="0.3">
      <c r="B45" s="702" t="s">
        <v>435</v>
      </c>
      <c r="C45" s="722"/>
      <c r="D45" s="703"/>
      <c r="E45" s="703"/>
      <c r="F45" s="703"/>
      <c r="G45" s="703"/>
      <c r="H45" s="703"/>
      <c r="I45" s="70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29"/>
  <sheetViews>
    <sheetView workbookViewId="0">
      <selection activeCell="D18" sqref="D18"/>
    </sheetView>
  </sheetViews>
  <sheetFormatPr defaultColWidth="8.7265625" defaultRowHeight="12.5" x14ac:dyDescent="0.25"/>
  <cols>
    <col min="1" max="1" width="42.7265625" style="22" bestFit="1" customWidth="1"/>
    <col min="2" max="2" width="20.08984375" style="22" customWidth="1"/>
    <col min="3" max="3" width="14.54296875" style="22" customWidth="1"/>
    <col min="4" max="4" width="15.54296875" style="22" bestFit="1" customWidth="1"/>
    <col min="5" max="5" width="17.1796875" style="22" customWidth="1"/>
    <col min="6" max="6" width="15" style="22" bestFit="1" customWidth="1"/>
    <col min="7" max="7" width="16.453125" style="22" customWidth="1"/>
    <col min="8" max="8" width="8.7265625" style="22"/>
    <col min="9" max="9" width="9.26953125" style="22" bestFit="1" customWidth="1"/>
    <col min="10" max="16384" width="8.7265625" style="22"/>
  </cols>
  <sheetData>
    <row r="1" spans="1:9" ht="13" thickBot="1" x14ac:dyDescent="0.3">
      <c r="A1" s="389" t="s">
        <v>388</v>
      </c>
      <c r="B1" s="32"/>
      <c r="G1" s="360" t="s">
        <v>337</v>
      </c>
    </row>
    <row r="2" spans="1:9" ht="13" thickBot="1" x14ac:dyDescent="0.3"/>
    <row r="3" spans="1:9" x14ac:dyDescent="0.25">
      <c r="A3" s="390" t="s">
        <v>367</v>
      </c>
      <c r="B3" s="391"/>
      <c r="C3" s="391"/>
      <c r="D3" s="391"/>
      <c r="E3" s="391"/>
      <c r="F3" s="391"/>
      <c r="G3" s="392"/>
    </row>
    <row r="4" spans="1:9" ht="13" thickBot="1" x14ac:dyDescent="0.3">
      <c r="A4" s="679"/>
      <c r="B4" s="680"/>
      <c r="C4" s="681"/>
      <c r="D4" s="681"/>
      <c r="E4" s="681"/>
      <c r="F4" s="681"/>
      <c r="G4" s="682"/>
    </row>
    <row r="5" spans="1:9" x14ac:dyDescent="0.25">
      <c r="A5" s="683" t="s">
        <v>368</v>
      </c>
      <c r="B5" s="684" t="s">
        <v>277</v>
      </c>
      <c r="C5" s="363" t="s">
        <v>317</v>
      </c>
      <c r="D5" s="363" t="s">
        <v>318</v>
      </c>
      <c r="E5" s="363" t="s">
        <v>319</v>
      </c>
      <c r="F5" s="363" t="s">
        <v>320</v>
      </c>
      <c r="G5" s="364" t="s">
        <v>321</v>
      </c>
    </row>
    <row r="6" spans="1:9" x14ac:dyDescent="0.25">
      <c r="A6" s="393" t="s">
        <v>112</v>
      </c>
      <c r="B6" s="414">
        <f>'Profit&amp;Loss'!B40</f>
        <v>66.97</v>
      </c>
      <c r="C6" s="414">
        <f>'Profit&amp;Loss'!C40</f>
        <v>81.270315000000011</v>
      </c>
      <c r="D6" s="414">
        <f>'Profit&amp;Loss'!D40</f>
        <v>109.17238499999999</v>
      </c>
      <c r="E6" s="414">
        <f>'Profit&amp;Loss'!E40</f>
        <v>144.02413725000002</v>
      </c>
      <c r="F6" s="414">
        <f>'Profit&amp;Loss'!F40</f>
        <v>168.24025522499997</v>
      </c>
      <c r="G6" s="685">
        <f>'Profit&amp;Loss'!G40</f>
        <v>197.18765634750002</v>
      </c>
    </row>
    <row r="7" spans="1:9" x14ac:dyDescent="0.25">
      <c r="A7" s="393" t="s">
        <v>369</v>
      </c>
      <c r="B7" s="396">
        <f>'Profit&amp;Loss'!B33</f>
        <v>0</v>
      </c>
      <c r="C7" s="396">
        <f>'Profit&amp;Loss'!C33</f>
        <v>0</v>
      </c>
      <c r="D7" s="396">
        <f>'Profit&amp;Loss'!D33</f>
        <v>0</v>
      </c>
      <c r="E7" s="396">
        <f>'Profit&amp;Loss'!E33</f>
        <v>0</v>
      </c>
      <c r="F7" s="396">
        <f>'Profit&amp;Loss'!F33</f>
        <v>0</v>
      </c>
      <c r="G7" s="397">
        <f>'Profit&amp;Loss'!G33</f>
        <v>0</v>
      </c>
    </row>
    <row r="8" spans="1:9" x14ac:dyDescent="0.25">
      <c r="A8" s="393" t="s">
        <v>370</v>
      </c>
      <c r="B8" s="394"/>
      <c r="C8" s="396"/>
      <c r="D8" s="396">
        <v>0</v>
      </c>
      <c r="E8" s="396">
        <v>0</v>
      </c>
      <c r="F8" s="396">
        <v>0</v>
      </c>
      <c r="G8" s="397">
        <v>0</v>
      </c>
    </row>
    <row r="9" spans="1:9" x14ac:dyDescent="0.25">
      <c r="A9" s="395" t="s">
        <v>371</v>
      </c>
      <c r="B9" s="398"/>
      <c r="C9" s="399">
        <f>+C6+B7+C8</f>
        <v>81.270315000000011</v>
      </c>
      <c r="D9" s="399">
        <f t="shared" ref="D9:G9" si="0">+D6+D7+D8</f>
        <v>109.17238499999999</v>
      </c>
      <c r="E9" s="399">
        <f t="shared" si="0"/>
        <v>144.02413725000002</v>
      </c>
      <c r="F9" s="399">
        <f t="shared" si="0"/>
        <v>168.24025522499997</v>
      </c>
      <c r="G9" s="400">
        <f t="shared" si="0"/>
        <v>197.18765634750002</v>
      </c>
    </row>
    <row r="10" spans="1:9" x14ac:dyDescent="0.25">
      <c r="A10" s="395" t="s">
        <v>372</v>
      </c>
      <c r="B10" s="398"/>
      <c r="C10" s="396"/>
      <c r="D10" s="396"/>
      <c r="E10" s="396"/>
      <c r="F10" s="396"/>
      <c r="G10" s="397"/>
    </row>
    <row r="11" spans="1:9" x14ac:dyDescent="0.25">
      <c r="A11" s="393" t="s">
        <v>373</v>
      </c>
      <c r="B11" s="394"/>
      <c r="C11" s="396">
        <f>'Balance Sheet'!D32-'Balance Sheet'!E32</f>
        <v>-6.0328767123287674</v>
      </c>
      <c r="D11" s="385">
        <f>'Balance Sheet'!E32-'Balance Sheet'!F32</f>
        <v>-2.0712328767123287</v>
      </c>
      <c r="E11" s="385">
        <f>'Balance Sheet'!F32-'Balance Sheet'!G32</f>
        <v>8.5684931506849082E-2</v>
      </c>
      <c r="F11" s="385">
        <f>'Balance Sheet'!G32-'Balance Sheet'!H32</f>
        <v>-1.3482123287671222</v>
      </c>
      <c r="G11" s="386">
        <f>'Balance Sheet'!H32-'Balance Sheet'!I32</f>
        <v>-1.6116226027397271</v>
      </c>
      <c r="I11" s="107"/>
    </row>
    <row r="12" spans="1:9" x14ac:dyDescent="0.25">
      <c r="A12" s="393" t="s">
        <v>374</v>
      </c>
      <c r="B12" s="394"/>
      <c r="C12" s="396">
        <f>'Balance Sheet'!D31-'Balance Sheet'!E31</f>
        <v>0</v>
      </c>
      <c r="D12" s="396">
        <f>'Balance Sheet'!E31-'Balance Sheet'!F31</f>
        <v>0</v>
      </c>
      <c r="E12" s="396">
        <f>'Balance Sheet'!F31-'Balance Sheet'!G31</f>
        <v>0</v>
      </c>
      <c r="F12" s="396">
        <f>'Balance Sheet'!G31-'Balance Sheet'!H31</f>
        <v>0</v>
      </c>
      <c r="G12" s="397">
        <f>'Balance Sheet'!H31-'Balance Sheet'!I31</f>
        <v>0</v>
      </c>
    </row>
    <row r="13" spans="1:9" x14ac:dyDescent="0.25">
      <c r="A13" s="393" t="s">
        <v>375</v>
      </c>
      <c r="B13" s="394"/>
      <c r="C13" s="396">
        <f>'Balance Sheet'!D35-'Balance Sheet'!E35</f>
        <v>0</v>
      </c>
      <c r="D13" s="396">
        <f>'Balance Sheet'!E35-'Balance Sheet'!F35</f>
        <v>0</v>
      </c>
      <c r="E13" s="396">
        <f>'Balance Sheet'!F35-'Balance Sheet'!G35</f>
        <v>0</v>
      </c>
      <c r="F13" s="396">
        <f>'Balance Sheet'!G35-'Balance Sheet'!H35</f>
        <v>0</v>
      </c>
      <c r="G13" s="397">
        <f>'Balance Sheet'!H35-'Balance Sheet'!I35</f>
        <v>0</v>
      </c>
    </row>
    <row r="14" spans="1:9" x14ac:dyDescent="0.25">
      <c r="A14" s="393" t="s">
        <v>376</v>
      </c>
      <c r="B14" s="394"/>
      <c r="C14" s="401">
        <f>'Balance Sheet'!E14-'Balance Sheet'!D14</f>
        <v>0</v>
      </c>
      <c r="D14" s="401">
        <f>'Balance Sheet'!F14-'Balance Sheet'!E14</f>
        <v>0</v>
      </c>
      <c r="E14" s="401">
        <f>'Balance Sheet'!G14-'Balance Sheet'!F14</f>
        <v>0</v>
      </c>
      <c r="F14" s="401">
        <f>'Balance Sheet'!H14-'Balance Sheet'!G14</f>
        <v>0</v>
      </c>
      <c r="G14" s="402">
        <f>'Balance Sheet'!I14-'Balance Sheet'!H14</f>
        <v>0</v>
      </c>
    </row>
    <row r="15" spans="1:9" x14ac:dyDescent="0.25">
      <c r="A15" s="403" t="s">
        <v>377</v>
      </c>
      <c r="B15" s="404"/>
      <c r="C15" s="405">
        <f t="shared" ref="C15:G15" si="1">+SUM(C9:C14)</f>
        <v>75.237438287671239</v>
      </c>
      <c r="D15" s="405">
        <f t="shared" si="1"/>
        <v>107.10115212328766</v>
      </c>
      <c r="E15" s="405">
        <f t="shared" si="1"/>
        <v>144.10982218150687</v>
      </c>
      <c r="F15" s="405">
        <f t="shared" si="1"/>
        <v>166.89204289623285</v>
      </c>
      <c r="G15" s="406">
        <f t="shared" si="1"/>
        <v>195.57603374476031</v>
      </c>
    </row>
    <row r="16" spans="1:9" x14ac:dyDescent="0.25">
      <c r="A16" s="395" t="s">
        <v>378</v>
      </c>
      <c r="B16" s="398"/>
      <c r="C16" s="396"/>
      <c r="D16" s="396"/>
      <c r="E16" s="396"/>
      <c r="F16" s="396"/>
      <c r="G16" s="397"/>
    </row>
    <row r="17" spans="1:8" x14ac:dyDescent="0.25">
      <c r="A17" s="393" t="s">
        <v>379</v>
      </c>
      <c r="B17" s="394"/>
      <c r="C17" s="396">
        <f>'Depreciation Sch'!E14</f>
        <v>0</v>
      </c>
      <c r="D17" s="396">
        <f>'Depreciation Sch'!H14</f>
        <v>0</v>
      </c>
      <c r="E17" s="396">
        <f>'Depreciation Sch'!K14</f>
        <v>0</v>
      </c>
      <c r="F17" s="396">
        <f>'Depreciation Sch'!N14</f>
        <v>0</v>
      </c>
      <c r="G17" s="397">
        <f>'Depreciation Sch'!Q14</f>
        <v>0</v>
      </c>
    </row>
    <row r="18" spans="1:8" x14ac:dyDescent="0.25">
      <c r="A18" s="393" t="s">
        <v>380</v>
      </c>
      <c r="B18" s="394"/>
      <c r="C18" s="396"/>
      <c r="D18" s="396"/>
      <c r="E18" s="396"/>
      <c r="F18" s="396"/>
      <c r="G18" s="397"/>
    </row>
    <row r="19" spans="1:8" x14ac:dyDescent="0.25">
      <c r="A19" s="403" t="s">
        <v>381</v>
      </c>
      <c r="B19" s="404"/>
      <c r="C19" s="405">
        <f t="shared" ref="C19:G19" si="2">+SUM(C15:C18)</f>
        <v>75.237438287671239</v>
      </c>
      <c r="D19" s="405">
        <f t="shared" si="2"/>
        <v>107.10115212328766</v>
      </c>
      <c r="E19" s="405">
        <f t="shared" si="2"/>
        <v>144.10982218150687</v>
      </c>
      <c r="F19" s="405">
        <f t="shared" si="2"/>
        <v>166.89204289623285</v>
      </c>
      <c r="G19" s="406">
        <f t="shared" si="2"/>
        <v>195.57603374476031</v>
      </c>
    </row>
    <row r="20" spans="1:8" x14ac:dyDescent="0.25">
      <c r="A20" s="395" t="s">
        <v>382</v>
      </c>
      <c r="B20" s="398"/>
      <c r="C20" s="396"/>
      <c r="D20" s="396"/>
      <c r="E20" s="396"/>
      <c r="F20" s="396"/>
      <c r="G20" s="397"/>
    </row>
    <row r="21" spans="1:8" x14ac:dyDescent="0.25">
      <c r="A21" s="393" t="s">
        <v>383</v>
      </c>
      <c r="B21" s="394"/>
      <c r="C21" s="401">
        <f>'Balance Sheet'!E6-'Balance Sheet'!D6</f>
        <v>0</v>
      </c>
      <c r="D21" s="401">
        <f>'Balance Sheet'!F6-'Balance Sheet'!E6</f>
        <v>0</v>
      </c>
      <c r="E21" s="401">
        <f>'Balance Sheet'!G6-'Balance Sheet'!F6</f>
        <v>0</v>
      </c>
      <c r="F21" s="401">
        <f>'Balance Sheet'!H6-'Balance Sheet'!G6</f>
        <v>0</v>
      </c>
      <c r="G21" s="402">
        <f>'Balance Sheet'!I6-'Balance Sheet'!H6</f>
        <v>0</v>
      </c>
      <c r="H21" s="140"/>
    </row>
    <row r="22" spans="1:8" x14ac:dyDescent="0.25">
      <c r="A22" s="393" t="s">
        <v>384</v>
      </c>
      <c r="B22" s="394"/>
      <c r="C22" s="407"/>
      <c r="D22" s="407"/>
      <c r="E22" s="407"/>
      <c r="F22" s="407"/>
      <c r="G22" s="408"/>
    </row>
    <row r="23" spans="1:8" ht="27.5" customHeight="1" x14ac:dyDescent="0.25">
      <c r="A23" s="403" t="s">
        <v>385</v>
      </c>
      <c r="B23" s="404"/>
      <c r="C23" s="405">
        <f t="shared" ref="C23:G23" si="3">+SUM(C19:C22)</f>
        <v>75.237438287671239</v>
      </c>
      <c r="D23" s="405">
        <f t="shared" si="3"/>
        <v>107.10115212328766</v>
      </c>
      <c r="E23" s="405">
        <f t="shared" si="3"/>
        <v>144.10982218150687</v>
      </c>
      <c r="F23" s="405">
        <f t="shared" si="3"/>
        <v>166.89204289623285</v>
      </c>
      <c r="G23" s="406">
        <f t="shared" si="3"/>
        <v>195.57603374476031</v>
      </c>
    </row>
    <row r="24" spans="1:8" x14ac:dyDescent="0.25">
      <c r="A24" s="395" t="s">
        <v>386</v>
      </c>
      <c r="B24" s="398"/>
      <c r="C24" s="396">
        <f>B25</f>
        <v>0</v>
      </c>
      <c r="D24" s="396">
        <f t="shared" ref="D24:G24" si="4">C25</f>
        <v>75.237438287671239</v>
      </c>
      <c r="E24" s="396">
        <f t="shared" si="4"/>
        <v>182.33859041095889</v>
      </c>
      <c r="F24" s="396">
        <f t="shared" si="4"/>
        <v>326.44841259246573</v>
      </c>
      <c r="G24" s="397">
        <f t="shared" si="4"/>
        <v>493.34045548869858</v>
      </c>
    </row>
    <row r="25" spans="1:8" x14ac:dyDescent="0.25">
      <c r="A25" s="403" t="s">
        <v>387</v>
      </c>
      <c r="B25" s="409"/>
      <c r="C25" s="405">
        <f>C23+C24</f>
        <v>75.237438287671239</v>
      </c>
      <c r="D25" s="405">
        <f t="shared" ref="D25:G25" si="5">D23+D24</f>
        <v>182.33859041095889</v>
      </c>
      <c r="E25" s="405">
        <f t="shared" si="5"/>
        <v>326.44841259246573</v>
      </c>
      <c r="F25" s="405">
        <f t="shared" si="5"/>
        <v>493.34045548869858</v>
      </c>
      <c r="G25" s="406">
        <f t="shared" si="5"/>
        <v>688.91648923345883</v>
      </c>
    </row>
    <row r="26" spans="1:8" ht="13" thickBot="1" x14ac:dyDescent="0.3">
      <c r="A26" s="410" t="s">
        <v>71</v>
      </c>
      <c r="B26" s="411"/>
      <c r="C26" s="412">
        <f t="shared" ref="C26:G26" si="6">+C24+C23-C25</f>
        <v>0</v>
      </c>
      <c r="D26" s="412">
        <f t="shared" si="6"/>
        <v>0</v>
      </c>
      <c r="E26" s="412">
        <f t="shared" si="6"/>
        <v>0</v>
      </c>
      <c r="F26" s="412">
        <f t="shared" si="6"/>
        <v>0</v>
      </c>
      <c r="G26" s="413">
        <f t="shared" si="6"/>
        <v>0</v>
      </c>
    </row>
    <row r="27" spans="1:8" x14ac:dyDescent="0.25">
      <c r="F27" s="166"/>
    </row>
    <row r="28" spans="1:8" x14ac:dyDescent="0.25">
      <c r="C28" s="31"/>
      <c r="D28" s="31"/>
      <c r="E28" s="31"/>
      <c r="F28" s="31"/>
      <c r="G28" s="31"/>
    </row>
    <row r="29" spans="1:8" x14ac:dyDescent="0.25">
      <c r="C29" s="166"/>
      <c r="D29" s="166"/>
      <c r="E29" s="166"/>
      <c r="F29" s="166"/>
      <c r="G29" s="166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8750-C289-4BA5-9271-D8DF0389DC1F}">
  <sheetPr>
    <tabColor rgb="FFFFFF00"/>
  </sheetPr>
  <dimension ref="A1:H6"/>
  <sheetViews>
    <sheetView workbookViewId="0">
      <selection activeCell="E4" sqref="E4:H4"/>
    </sheetView>
  </sheetViews>
  <sheetFormatPr defaultRowHeight="14.5" x14ac:dyDescent="0.35"/>
  <cols>
    <col min="2" max="2" width="29.7265625" customWidth="1"/>
    <col min="3" max="3" width="15.6328125" customWidth="1"/>
  </cols>
  <sheetData>
    <row r="1" spans="1:8" x14ac:dyDescent="0.35">
      <c r="B1" s="696" t="s">
        <v>309</v>
      </c>
    </row>
    <row r="2" spans="1:8" ht="15" thickBot="1" x14ac:dyDescent="0.4"/>
    <row r="3" spans="1:8" x14ac:dyDescent="0.35">
      <c r="A3" s="695">
        <v>1</v>
      </c>
      <c r="B3" s="493" t="s">
        <v>428</v>
      </c>
      <c r="C3" s="495" t="s">
        <v>303</v>
      </c>
      <c r="D3" s="496" t="s">
        <v>317</v>
      </c>
      <c r="E3" s="496" t="s">
        <v>318</v>
      </c>
      <c r="F3" s="495" t="s">
        <v>319</v>
      </c>
      <c r="G3" s="495" t="s">
        <v>320</v>
      </c>
      <c r="H3" s="497" t="s">
        <v>321</v>
      </c>
    </row>
    <row r="4" spans="1:8" x14ac:dyDescent="0.35">
      <c r="A4" s="457"/>
      <c r="B4" s="523" t="s">
        <v>429</v>
      </c>
      <c r="C4" s="581"/>
      <c r="D4" s="523">
        <f>('Assumption Sheet'!F66*'Profit&amp;Loss'!C9)/365</f>
        <v>0</v>
      </c>
      <c r="E4" s="523">
        <f>('Assumption Sheet'!G66*'Profit&amp;Loss'!D9)/365</f>
        <v>0</v>
      </c>
      <c r="F4" s="523">
        <f>('Assumption Sheet'!H66*'Profit&amp;Loss'!E9)/365</f>
        <v>0</v>
      </c>
      <c r="G4" s="523">
        <f>('Assumption Sheet'!I66*'Profit&amp;Loss'!F9)/365</f>
        <v>0</v>
      </c>
      <c r="H4" s="523">
        <f>('Assumption Sheet'!J66*'Profit&amp;Loss'!G9)/365</f>
        <v>0</v>
      </c>
    </row>
    <row r="5" spans="1:8" x14ac:dyDescent="0.35">
      <c r="A5" s="460"/>
      <c r="B5" s="523" t="s">
        <v>431</v>
      </c>
      <c r="C5" s="581"/>
      <c r="D5" s="523">
        <f>('Profit&amp;Loss'!C4*'Assumption Sheet'!F67)/365</f>
        <v>6.0328767123287674</v>
      </c>
      <c r="E5" s="523">
        <f>('Profit&amp;Loss'!D4*'Assumption Sheet'!G67)/365</f>
        <v>8.1041095890410961</v>
      </c>
      <c r="F5" s="523">
        <f>('Profit&amp;Loss'!E4*'Assumption Sheet'!H67)/365</f>
        <v>8.018424657534247</v>
      </c>
      <c r="G5" s="523">
        <f>('Profit&amp;Loss'!F4*'Assumption Sheet'!I67)/365</f>
        <v>9.3666369863013692</v>
      </c>
      <c r="H5" s="529">
        <f>('Profit&amp;Loss'!G4*'Assumption Sheet'!J67)/365</f>
        <v>10.978259589041096</v>
      </c>
    </row>
    <row r="6" spans="1:8" ht="15" thickBot="1" x14ac:dyDescent="0.4">
      <c r="A6" s="582"/>
      <c r="B6" s="583" t="s">
        <v>430</v>
      </c>
      <c r="C6" s="694"/>
      <c r="D6" s="583">
        <f>('Assumption Sheet'!F68*'Profit&amp;Loss'!C9)/365</f>
        <v>0</v>
      </c>
      <c r="E6" s="583">
        <f>('Assumption Sheet'!G68*'Profit&amp;Loss'!D9)/365</f>
        <v>0</v>
      </c>
      <c r="F6" s="583">
        <f>('Assumption Sheet'!H68*'Profit&amp;Loss'!E9)/365</f>
        <v>0</v>
      </c>
      <c r="G6" s="583">
        <f>('Assumption Sheet'!I68*'Profit&amp;Loss'!F9)/365</f>
        <v>0</v>
      </c>
      <c r="H6" s="585">
        <f>('Assumption Sheet'!J68*'Profit&amp;Loss'!G9)/365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T19"/>
  <sheetViews>
    <sheetView showGridLines="0" topLeftCell="K1" zoomScaleNormal="100" workbookViewId="0">
      <selection activeCell="N18" sqref="N18"/>
    </sheetView>
  </sheetViews>
  <sheetFormatPr defaultColWidth="9.1796875" defaultRowHeight="12.5" x14ac:dyDescent="0.25"/>
  <cols>
    <col min="1" max="1" width="4.453125" style="22" customWidth="1"/>
    <col min="2" max="2" width="26.81640625" style="22" customWidth="1"/>
    <col min="3" max="3" width="17.453125" style="22" bestFit="1" customWidth="1"/>
    <col min="4" max="4" width="14.1796875" style="22" bestFit="1" customWidth="1"/>
    <col min="5" max="5" width="15.81640625" style="22" customWidth="1"/>
    <col min="6" max="6" width="17" style="22" customWidth="1"/>
    <col min="7" max="7" width="17.453125" style="22" bestFit="1" customWidth="1"/>
    <col min="8" max="8" width="16.6328125" style="22" customWidth="1"/>
    <col min="9" max="9" width="17.6328125" style="22" bestFit="1" customWidth="1"/>
    <col min="10" max="10" width="18.453125" style="22" bestFit="1" customWidth="1"/>
    <col min="11" max="11" width="16.6328125" style="22" customWidth="1"/>
    <col min="12" max="12" width="16.6328125" style="22" bestFit="1" customWidth="1"/>
    <col min="13" max="13" width="17.453125" style="22" bestFit="1" customWidth="1"/>
    <col min="14" max="14" width="17.453125" style="22" customWidth="1"/>
    <col min="15" max="15" width="16.6328125" style="22" bestFit="1" customWidth="1"/>
    <col min="16" max="16" width="17.453125" style="22" bestFit="1" customWidth="1"/>
    <col min="17" max="17" width="17.453125" style="22" customWidth="1"/>
    <col min="18" max="18" width="17.1796875" style="22" bestFit="1" customWidth="1"/>
    <col min="19" max="19" width="16.6328125" style="22" bestFit="1" customWidth="1"/>
    <col min="20" max="16384" width="9.1796875" style="22"/>
  </cols>
  <sheetData>
    <row r="1" spans="1:20" s="102" customFormat="1" x14ac:dyDescent="0.25">
      <c r="B1" s="102" t="s">
        <v>164</v>
      </c>
      <c r="I1" s="103"/>
      <c r="J1" s="103"/>
      <c r="K1" s="103"/>
      <c r="L1" s="103"/>
      <c r="M1" s="103"/>
    </row>
    <row r="3" spans="1:20" x14ac:dyDescent="0.25">
      <c r="B3" s="24" t="s">
        <v>59</v>
      </c>
    </row>
    <row r="4" spans="1:20" ht="25" x14ac:dyDescent="0.25">
      <c r="B4" s="25" t="s">
        <v>109</v>
      </c>
      <c r="C4" s="26" t="s">
        <v>390</v>
      </c>
      <c r="D4" s="26" t="s">
        <v>69</v>
      </c>
      <c r="E4" s="26" t="s">
        <v>60</v>
      </c>
      <c r="F4" s="27" t="s">
        <v>391</v>
      </c>
      <c r="G4" s="26" t="s">
        <v>394</v>
      </c>
      <c r="H4" s="26" t="s">
        <v>60</v>
      </c>
      <c r="I4" s="27" t="s">
        <v>392</v>
      </c>
      <c r="J4" s="26" t="s">
        <v>393</v>
      </c>
      <c r="K4" s="26" t="s">
        <v>60</v>
      </c>
      <c r="L4" s="27" t="s">
        <v>395</v>
      </c>
      <c r="M4" s="26" t="s">
        <v>396</v>
      </c>
      <c r="N4" s="26" t="s">
        <v>60</v>
      </c>
      <c r="O4" s="27" t="s">
        <v>397</v>
      </c>
      <c r="P4" s="27" t="s">
        <v>398</v>
      </c>
      <c r="Q4" s="27" t="s">
        <v>60</v>
      </c>
      <c r="R4" s="27" t="s">
        <v>399</v>
      </c>
      <c r="S4" s="27" t="s">
        <v>400</v>
      </c>
    </row>
    <row r="5" spans="1:20" x14ac:dyDescent="0.25">
      <c r="B5" s="22" t="s">
        <v>62</v>
      </c>
      <c r="C5" s="31">
        <v>0</v>
      </c>
      <c r="D5" s="104">
        <v>5</v>
      </c>
      <c r="E5" s="31">
        <f>'Assumption Sheet'!F74</f>
        <v>0</v>
      </c>
      <c r="F5" s="28">
        <f>SUM(C5,E5)/D5</f>
        <v>0</v>
      </c>
      <c r="G5" s="105"/>
      <c r="H5" s="28">
        <f>'Assumption Sheet'!G74/1000000</f>
        <v>0</v>
      </c>
      <c r="I5" s="28">
        <f>SUM(G5:H5)/D5</f>
        <v>0</v>
      </c>
      <c r="J5" s="105">
        <f>G5+H5-I5</f>
        <v>0</v>
      </c>
      <c r="K5" s="28">
        <f>('Assumption Sheet'!H74)/1000000</f>
        <v>0</v>
      </c>
      <c r="L5" s="28">
        <f>SUM(J5:K5)/D5</f>
        <v>0</v>
      </c>
      <c r="M5" s="106">
        <f>J5+K5-L5</f>
        <v>0</v>
      </c>
      <c r="N5" s="28">
        <f>('Assumption Sheet'!I74)/1000000</f>
        <v>0</v>
      </c>
      <c r="O5" s="28">
        <f>SUM(M5:N5)/D5</f>
        <v>0</v>
      </c>
      <c r="P5" s="106">
        <f>M5+N5-O5</f>
        <v>0</v>
      </c>
      <c r="Q5" s="28">
        <f>('Assumption Sheet'!J74)/1000000</f>
        <v>0</v>
      </c>
      <c r="R5" s="28">
        <f>SUM(P5:Q5)/D5</f>
        <v>0</v>
      </c>
      <c r="S5" s="106">
        <f>P5+Q5-R5</f>
        <v>0</v>
      </c>
      <c r="T5" s="107"/>
    </row>
    <row r="6" spans="1:20" x14ac:dyDescent="0.25">
      <c r="B6" s="22" t="s">
        <v>61</v>
      </c>
      <c r="C6" s="108">
        <v>0</v>
      </c>
      <c r="D6" s="104">
        <v>5</v>
      </c>
      <c r="E6" s="31">
        <f>'Assumption Sheet'!G75</f>
        <v>0</v>
      </c>
      <c r="F6" s="28">
        <f t="shared" ref="F6:F7" si="0">SUM(C6,E6)/D6</f>
        <v>0</v>
      </c>
      <c r="G6" s="105">
        <f t="shared" ref="G6:G7" si="1">C6+E6-F6</f>
        <v>0</v>
      </c>
      <c r="H6" s="28">
        <f>'Assumption Sheet'!G75/1000000</f>
        <v>0</v>
      </c>
      <c r="I6" s="28">
        <f t="shared" ref="I6:I7" si="2">SUM(G6:H6)/D6</f>
        <v>0</v>
      </c>
      <c r="J6" s="105">
        <f t="shared" ref="J6:J7" si="3">G6+H6-I6</f>
        <v>0</v>
      </c>
      <c r="K6" s="28">
        <f>('Assumption Sheet'!H75)/1000000</f>
        <v>0</v>
      </c>
      <c r="L6" s="28">
        <f t="shared" ref="L6:L7" si="4">SUM(J6:K6)/D6</f>
        <v>0</v>
      </c>
      <c r="M6" s="106">
        <f t="shared" ref="M6:M7" si="5">J6+K6-L6</f>
        <v>0</v>
      </c>
      <c r="N6" s="28">
        <f>('Assumption Sheet'!I75)/1000000</f>
        <v>0</v>
      </c>
      <c r="O6" s="28">
        <f t="shared" ref="O6:O7" si="6">SUM(M6:N6)/D6</f>
        <v>0</v>
      </c>
      <c r="P6" s="106">
        <f t="shared" ref="P6:P7" si="7">M6+N6-O6</f>
        <v>0</v>
      </c>
      <c r="Q6" s="28">
        <f>('Assumption Sheet'!J75)/1000000</f>
        <v>0</v>
      </c>
      <c r="R6" s="28">
        <f t="shared" ref="R6:R7" si="8">SUM(P6:Q6)/D6</f>
        <v>0</v>
      </c>
      <c r="S6" s="106">
        <f t="shared" ref="S6:S7" si="9">P6+Q6-R6</f>
        <v>0</v>
      </c>
      <c r="T6" s="107"/>
    </row>
    <row r="7" spans="1:20" x14ac:dyDescent="0.25">
      <c r="B7" s="22" t="s">
        <v>63</v>
      </c>
      <c r="C7" s="108">
        <v>0</v>
      </c>
      <c r="D7" s="104">
        <v>5</v>
      </c>
      <c r="E7" s="31">
        <f>SUM('Assumption Sheet'!F76:F77)</f>
        <v>0</v>
      </c>
      <c r="F7" s="28">
        <f t="shared" si="0"/>
        <v>0</v>
      </c>
      <c r="G7" s="105">
        <f t="shared" si="1"/>
        <v>0</v>
      </c>
      <c r="H7" s="28">
        <f>SUM('Assumption Sheet'!G76:G77)/1000000</f>
        <v>0</v>
      </c>
      <c r="I7" s="28">
        <f t="shared" si="2"/>
        <v>0</v>
      </c>
      <c r="J7" s="105">
        <f t="shared" si="3"/>
        <v>0</v>
      </c>
      <c r="K7" s="28">
        <f>(SUM('Assumption Sheet'!H76:H77))/1000000</f>
        <v>0</v>
      </c>
      <c r="L7" s="28">
        <f t="shared" si="4"/>
        <v>0</v>
      </c>
      <c r="M7" s="106">
        <f t="shared" si="5"/>
        <v>0</v>
      </c>
      <c r="N7" s="28">
        <f>(SUM('Assumption Sheet'!I76:I77))/1000000</f>
        <v>0</v>
      </c>
      <c r="O7" s="28">
        <f t="shared" si="6"/>
        <v>0</v>
      </c>
      <c r="P7" s="106">
        <f t="shared" si="7"/>
        <v>0</v>
      </c>
      <c r="Q7" s="28">
        <f>(SUM('Assumption Sheet'!J76:J77))/1000000</f>
        <v>0</v>
      </c>
      <c r="R7" s="28">
        <f t="shared" si="8"/>
        <v>0</v>
      </c>
      <c r="S7" s="106">
        <f t="shared" si="9"/>
        <v>0</v>
      </c>
      <c r="T7" s="107"/>
    </row>
    <row r="8" spans="1:20" x14ac:dyDescent="0.25">
      <c r="B8" s="22" t="s">
        <v>95</v>
      </c>
      <c r="C8" s="108">
        <v>0</v>
      </c>
      <c r="D8" s="104">
        <v>5</v>
      </c>
      <c r="E8" s="31">
        <f>'Assumption Sheet'!F80</f>
        <v>0</v>
      </c>
      <c r="F8" s="28">
        <f t="shared" ref="F8" si="10">SUM(C8,E8)/D8</f>
        <v>0</v>
      </c>
      <c r="G8" s="105">
        <f t="shared" ref="G8" si="11">C8+E8-F8</f>
        <v>0</v>
      </c>
      <c r="H8" s="28">
        <f>'Assumption Sheet'!G80/1000000</f>
        <v>0</v>
      </c>
      <c r="I8" s="28">
        <f t="shared" ref="I8" si="12">SUM(G8:H8)/D8</f>
        <v>0</v>
      </c>
      <c r="J8" s="105">
        <f t="shared" ref="J8" si="13">G8+H8-I8</f>
        <v>0</v>
      </c>
      <c r="K8" s="28">
        <f>('Assumption Sheet'!H80)/1000000</f>
        <v>0</v>
      </c>
      <c r="L8" s="28">
        <f t="shared" ref="L8" si="14">SUM(J8:K8)/D8</f>
        <v>0</v>
      </c>
      <c r="M8" s="106">
        <f t="shared" ref="M8" si="15">J8+K8-L8</f>
        <v>0</v>
      </c>
      <c r="N8" s="28">
        <f>('Assumption Sheet'!I80)/1000000</f>
        <v>0</v>
      </c>
      <c r="O8" s="28">
        <f t="shared" ref="O8" si="16">SUM(M8:N8)/D8</f>
        <v>0</v>
      </c>
      <c r="P8" s="106">
        <f t="shared" ref="P8" si="17">M8+N8-O8</f>
        <v>0</v>
      </c>
      <c r="Q8" s="28">
        <f>('Assumption Sheet'!J80)/1000000</f>
        <v>0</v>
      </c>
      <c r="R8" s="28">
        <f t="shared" ref="R8" si="18">SUM(P8:Q8)/D8</f>
        <v>0</v>
      </c>
      <c r="S8" s="106">
        <f t="shared" ref="S8" si="19">P8+Q8-R8</f>
        <v>0</v>
      </c>
      <c r="T8" s="107"/>
    </row>
    <row r="9" spans="1:20" x14ac:dyDescent="0.25">
      <c r="B9" s="109" t="s">
        <v>13</v>
      </c>
      <c r="C9" s="110">
        <f>SUM(C6:C7)</f>
        <v>0</v>
      </c>
      <c r="D9" s="111"/>
      <c r="E9" s="112">
        <f>SUM(E5:E8)</f>
        <v>0</v>
      </c>
      <c r="F9" s="112">
        <f t="shared" ref="F9:S9" si="20">SUM(F5:F8)</f>
        <v>0</v>
      </c>
      <c r="G9" s="113">
        <f t="shared" si="20"/>
        <v>0</v>
      </c>
      <c r="H9" s="112">
        <f t="shared" si="20"/>
        <v>0</v>
      </c>
      <c r="I9" s="112">
        <f t="shared" si="20"/>
        <v>0</v>
      </c>
      <c r="J9" s="113">
        <f t="shared" si="20"/>
        <v>0</v>
      </c>
      <c r="K9" s="112">
        <f t="shared" si="20"/>
        <v>0</v>
      </c>
      <c r="L9" s="112">
        <f t="shared" si="20"/>
        <v>0</v>
      </c>
      <c r="M9" s="113">
        <f t="shared" si="20"/>
        <v>0</v>
      </c>
      <c r="N9" s="112">
        <f t="shared" si="20"/>
        <v>0</v>
      </c>
      <c r="O9" s="112">
        <f t="shared" si="20"/>
        <v>0</v>
      </c>
      <c r="P9" s="113">
        <f t="shared" si="20"/>
        <v>0</v>
      </c>
      <c r="Q9" s="112">
        <f t="shared" si="20"/>
        <v>0</v>
      </c>
      <c r="R9" s="112">
        <f t="shared" si="20"/>
        <v>0</v>
      </c>
      <c r="S9" s="114">
        <f t="shared" si="20"/>
        <v>0</v>
      </c>
    </row>
    <row r="10" spans="1:20" x14ac:dyDescent="0.25">
      <c r="C10" s="108"/>
      <c r="D10" s="115"/>
      <c r="E10" s="28"/>
      <c r="F10" s="28"/>
      <c r="G10" s="105"/>
      <c r="H10" s="28"/>
      <c r="I10" s="28"/>
      <c r="J10" s="105"/>
      <c r="K10" s="28"/>
      <c r="L10" s="28"/>
      <c r="M10" s="105"/>
      <c r="N10" s="28"/>
      <c r="O10" s="28"/>
      <c r="P10" s="105"/>
      <c r="Q10" s="28"/>
      <c r="R10" s="28"/>
      <c r="S10" s="28"/>
    </row>
    <row r="11" spans="1:20" x14ac:dyDescent="0.25">
      <c r="B11" s="22" t="s">
        <v>33</v>
      </c>
      <c r="C11" s="31">
        <f>'Balance Sheet'!F6</f>
        <v>0</v>
      </c>
      <c r="D11" s="115">
        <v>5</v>
      </c>
      <c r="E11" s="31">
        <f>'Assumption Sheet'!F78</f>
        <v>0</v>
      </c>
      <c r="F11" s="28">
        <f t="shared" ref="F11:F12" si="21">SUM(C11,E11)/D11</f>
        <v>0</v>
      </c>
      <c r="G11" s="105">
        <f t="shared" ref="G11:G12" si="22">C11+E11-F11</f>
        <v>0</v>
      </c>
      <c r="H11" s="28">
        <f>'Assumption Sheet'!G78/1000000</f>
        <v>0</v>
      </c>
      <c r="I11" s="31">
        <f t="shared" ref="I11:I12" si="23">SUM(G11:H11)/D11</f>
        <v>0</v>
      </c>
      <c r="J11" s="116">
        <f>G11+H11-I11</f>
        <v>0</v>
      </c>
      <c r="K11" s="31">
        <f>('Assumption Sheet'!H78)/1000000</f>
        <v>0</v>
      </c>
      <c r="L11" s="31">
        <f t="shared" ref="L11:L12" si="24">SUM(J11:K11)/D11</f>
        <v>0</v>
      </c>
      <c r="M11" s="105">
        <f>J11+K11-L11</f>
        <v>0</v>
      </c>
      <c r="N11" s="31">
        <f>('Assumption Sheet'!I78)/1000000</f>
        <v>0</v>
      </c>
      <c r="O11" s="31">
        <f t="shared" ref="O11:O12" si="25">SUM(M11:N11)/D11</f>
        <v>0</v>
      </c>
      <c r="P11" s="116">
        <f>M11+N11-O11</f>
        <v>0</v>
      </c>
      <c r="Q11" s="31">
        <f>('Assumption Sheet'!J78)/1000000</f>
        <v>0</v>
      </c>
      <c r="R11" s="31">
        <f t="shared" ref="R11:R12" si="26">SUM(P11:Q11)/D11</f>
        <v>0</v>
      </c>
      <c r="S11" s="106">
        <f>P11+Q11-R11</f>
        <v>0</v>
      </c>
    </row>
    <row r="12" spans="1:20" x14ac:dyDescent="0.25">
      <c r="B12" s="22" t="s">
        <v>70</v>
      </c>
      <c r="C12" s="108">
        <v>0</v>
      </c>
      <c r="D12" s="104">
        <v>10</v>
      </c>
      <c r="E12" s="31">
        <f>'Assumption Sheet'!F79</f>
        <v>0</v>
      </c>
      <c r="F12" s="28">
        <f t="shared" si="21"/>
        <v>0</v>
      </c>
      <c r="G12" s="105">
        <f t="shared" si="22"/>
        <v>0</v>
      </c>
      <c r="H12" s="28">
        <f>'Assumption Sheet'!G79/1000000</f>
        <v>0</v>
      </c>
      <c r="I12" s="28">
        <f t="shared" si="23"/>
        <v>0</v>
      </c>
      <c r="J12" s="116">
        <f>G12+H12-I12</f>
        <v>0</v>
      </c>
      <c r="K12" s="31">
        <f>('Assumption Sheet'!H79)/1000000</f>
        <v>0</v>
      </c>
      <c r="L12" s="31">
        <f t="shared" si="24"/>
        <v>0</v>
      </c>
      <c r="M12" s="105">
        <f>J12+K12-L12</f>
        <v>0</v>
      </c>
      <c r="N12" s="31">
        <f>('Assumption Sheet'!I79)/1000000</f>
        <v>0</v>
      </c>
      <c r="O12" s="31">
        <f t="shared" si="25"/>
        <v>0</v>
      </c>
      <c r="P12" s="105">
        <f>M12+N12-O12</f>
        <v>0</v>
      </c>
      <c r="Q12" s="31">
        <f>('Assumption Sheet'!J79)/1000000</f>
        <v>0</v>
      </c>
      <c r="R12" s="31">
        <f t="shared" si="26"/>
        <v>0</v>
      </c>
      <c r="S12" s="106">
        <f>P12+Q12-R12</f>
        <v>0</v>
      </c>
    </row>
    <row r="13" spans="1:20" s="24" customFormat="1" x14ac:dyDescent="0.25">
      <c r="B13" s="117" t="s">
        <v>64</v>
      </c>
      <c r="C13" s="118"/>
      <c r="D13" s="118"/>
      <c r="E13" s="119">
        <f>SUM(E11:E12)</f>
        <v>0</v>
      </c>
      <c r="F13" s="120">
        <f t="shared" ref="F13:S13" si="27">SUM(F11:F12)</f>
        <v>0</v>
      </c>
      <c r="G13" s="121">
        <f t="shared" si="27"/>
        <v>0</v>
      </c>
      <c r="H13" s="120">
        <f t="shared" si="27"/>
        <v>0</v>
      </c>
      <c r="I13" s="120">
        <f t="shared" si="27"/>
        <v>0</v>
      </c>
      <c r="J13" s="122">
        <f t="shared" si="27"/>
        <v>0</v>
      </c>
      <c r="K13" s="120">
        <f t="shared" si="27"/>
        <v>0</v>
      </c>
      <c r="L13" s="119">
        <f t="shared" si="27"/>
        <v>0</v>
      </c>
      <c r="M13" s="121">
        <f t="shared" si="27"/>
        <v>0</v>
      </c>
      <c r="N13" s="120">
        <f t="shared" si="27"/>
        <v>0</v>
      </c>
      <c r="O13" s="119">
        <f t="shared" si="27"/>
        <v>0</v>
      </c>
      <c r="P13" s="121">
        <f t="shared" si="27"/>
        <v>0</v>
      </c>
      <c r="Q13" s="120">
        <f t="shared" si="27"/>
        <v>0</v>
      </c>
      <c r="R13" s="120">
        <f t="shared" si="27"/>
        <v>0</v>
      </c>
      <c r="S13" s="121">
        <f t="shared" si="27"/>
        <v>0</v>
      </c>
    </row>
    <row r="14" spans="1:20" ht="13" thickBot="1" x14ac:dyDescent="0.3">
      <c r="A14" s="24"/>
      <c r="B14" s="29" t="s">
        <v>16</v>
      </c>
      <c r="C14" s="123">
        <f>C9+C12</f>
        <v>0</v>
      </c>
      <c r="D14" s="123"/>
      <c r="E14" s="674">
        <f>E9+E13</f>
        <v>0</v>
      </c>
      <c r="F14" s="124">
        <f t="shared" ref="F14:S14" si="28">F9+F13</f>
        <v>0</v>
      </c>
      <c r="G14" s="125">
        <f t="shared" si="28"/>
        <v>0</v>
      </c>
      <c r="H14" s="674">
        <f t="shared" si="28"/>
        <v>0</v>
      </c>
      <c r="I14" s="124">
        <f t="shared" si="28"/>
        <v>0</v>
      </c>
      <c r="J14" s="125">
        <f t="shared" si="28"/>
        <v>0</v>
      </c>
      <c r="K14" s="674">
        <f t="shared" si="28"/>
        <v>0</v>
      </c>
      <c r="L14" s="124">
        <f t="shared" si="28"/>
        <v>0</v>
      </c>
      <c r="M14" s="125">
        <f t="shared" si="28"/>
        <v>0</v>
      </c>
      <c r="N14" s="674">
        <f t="shared" si="28"/>
        <v>0</v>
      </c>
      <c r="O14" s="124">
        <f t="shared" si="28"/>
        <v>0</v>
      </c>
      <c r="P14" s="125">
        <f t="shared" si="28"/>
        <v>0</v>
      </c>
      <c r="Q14" s="674">
        <f t="shared" si="28"/>
        <v>0</v>
      </c>
      <c r="R14" s="124">
        <f t="shared" si="28"/>
        <v>0</v>
      </c>
      <c r="S14" s="125">
        <f t="shared" si="28"/>
        <v>0</v>
      </c>
    </row>
    <row r="15" spans="1:20" ht="13.5" thickTop="1" thickBot="1" x14ac:dyDescent="0.3"/>
    <row r="16" spans="1:20" x14ac:dyDescent="0.25">
      <c r="B16" s="126" t="s">
        <v>65</v>
      </c>
      <c r="C16" s="127">
        <f>C14</f>
        <v>0</v>
      </c>
      <c r="D16" s="128">
        <v>0</v>
      </c>
      <c r="E16" s="128"/>
      <c r="F16" s="417">
        <f t="shared" ref="F16:I16" si="29">F14</f>
        <v>0</v>
      </c>
      <c r="G16" s="128">
        <v>0</v>
      </c>
      <c r="H16" s="128">
        <v>0</v>
      </c>
      <c r="I16" s="417">
        <f t="shared" si="29"/>
        <v>0</v>
      </c>
      <c r="J16" s="128">
        <v>0</v>
      </c>
      <c r="K16" s="128"/>
      <c r="L16" s="417">
        <f>L14</f>
        <v>0</v>
      </c>
      <c r="M16" s="128">
        <v>0</v>
      </c>
      <c r="N16" s="128"/>
      <c r="O16" s="417">
        <f>O14</f>
        <v>0</v>
      </c>
      <c r="P16" s="128">
        <v>0</v>
      </c>
      <c r="Q16" s="128"/>
      <c r="R16" s="128">
        <f>R14</f>
        <v>0</v>
      </c>
      <c r="S16" s="128">
        <v>0</v>
      </c>
    </row>
    <row r="17" spans="2:19" x14ac:dyDescent="0.25">
      <c r="B17" s="129" t="s">
        <v>66</v>
      </c>
      <c r="C17" s="130"/>
      <c r="D17" s="131">
        <f t="shared" ref="D17:E17" si="30">D14</f>
        <v>0</v>
      </c>
      <c r="E17" s="131">
        <f t="shared" si="30"/>
        <v>0</v>
      </c>
      <c r="F17" s="131">
        <v>0</v>
      </c>
      <c r="G17" s="131">
        <v>0</v>
      </c>
      <c r="H17" s="131">
        <f>H14</f>
        <v>0</v>
      </c>
      <c r="I17" s="131">
        <v>0</v>
      </c>
      <c r="J17" s="131">
        <v>0</v>
      </c>
      <c r="K17" s="131">
        <f>K14</f>
        <v>0</v>
      </c>
      <c r="L17" s="131">
        <v>0</v>
      </c>
      <c r="M17" s="131">
        <v>0</v>
      </c>
      <c r="N17" s="131">
        <f>N14</f>
        <v>0</v>
      </c>
      <c r="O17" s="131">
        <v>0</v>
      </c>
      <c r="P17" s="131">
        <v>0</v>
      </c>
      <c r="Q17" s="131">
        <f>Q14</f>
        <v>0</v>
      </c>
      <c r="R17" s="131">
        <v>0</v>
      </c>
      <c r="S17" s="131">
        <v>0</v>
      </c>
    </row>
    <row r="18" spans="2:19" ht="13" thickBot="1" x14ac:dyDescent="0.3">
      <c r="B18" s="132" t="s">
        <v>67</v>
      </c>
      <c r="C18" s="133">
        <v>0</v>
      </c>
      <c r="D18" s="134">
        <v>0</v>
      </c>
      <c r="E18" s="134"/>
      <c r="F18" s="134">
        <v>0</v>
      </c>
      <c r="G18" s="134">
        <f>G14</f>
        <v>0</v>
      </c>
      <c r="H18" s="134">
        <v>0</v>
      </c>
      <c r="I18" s="134">
        <v>0</v>
      </c>
      <c r="J18" s="134">
        <f>J14</f>
        <v>0</v>
      </c>
      <c r="K18" s="134"/>
      <c r="L18" s="134">
        <v>0</v>
      </c>
      <c r="M18" s="134">
        <f>M14</f>
        <v>0</v>
      </c>
      <c r="N18" s="134"/>
      <c r="O18" s="134">
        <v>0</v>
      </c>
      <c r="P18" s="134">
        <f>P14</f>
        <v>0</v>
      </c>
      <c r="Q18" s="134"/>
      <c r="R18" s="134">
        <v>0</v>
      </c>
      <c r="S18" s="134">
        <f>S14</f>
        <v>0</v>
      </c>
    </row>
    <row r="19" spans="2:19" x14ac:dyDescent="0.25">
      <c r="E19" s="10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H61"/>
  <sheetViews>
    <sheetView zoomScale="110" zoomScaleNormal="110" workbookViewId="0">
      <selection activeCell="B4" sqref="B4"/>
    </sheetView>
  </sheetViews>
  <sheetFormatPr defaultColWidth="12.453125" defaultRowHeight="12.5" x14ac:dyDescent="0.25"/>
  <cols>
    <col min="1" max="1" width="35.36328125" style="145" customWidth="1"/>
    <col min="2" max="3" width="14.453125" style="145" bestFit="1" customWidth="1"/>
    <col min="4" max="4" width="12.453125" style="145" bestFit="1" customWidth="1"/>
    <col min="5" max="5" width="20.453125" style="145" customWidth="1"/>
    <col min="6" max="7" width="12.453125" style="145"/>
    <col min="8" max="16384" width="12.453125" style="135"/>
  </cols>
  <sheetData>
    <row r="1" spans="1:8" x14ac:dyDescent="0.25">
      <c r="B1" s="150"/>
      <c r="C1" s="150"/>
    </row>
    <row r="2" spans="1:8" x14ac:dyDescent="0.25">
      <c r="A2" s="145" t="s">
        <v>425</v>
      </c>
      <c r="B2" s="150"/>
    </row>
    <row r="3" spans="1:8" x14ac:dyDescent="0.25">
      <c r="A3" s="146" t="s">
        <v>426</v>
      </c>
      <c r="B3" s="151">
        <v>1</v>
      </c>
      <c r="C3" s="151">
        <v>2</v>
      </c>
      <c r="D3" s="151">
        <v>3</v>
      </c>
      <c r="E3" s="151">
        <v>4</v>
      </c>
      <c r="F3" s="151">
        <v>5</v>
      </c>
    </row>
    <row r="4" spans="1:8" x14ac:dyDescent="0.25">
      <c r="A4" s="145" t="s">
        <v>290</v>
      </c>
      <c r="B4" s="152">
        <v>0</v>
      </c>
      <c r="C4" s="152">
        <v>0</v>
      </c>
      <c r="D4" s="152">
        <v>0</v>
      </c>
      <c r="E4" s="152">
        <v>0</v>
      </c>
      <c r="F4" s="152">
        <v>0</v>
      </c>
    </row>
    <row r="5" spans="1:8" x14ac:dyDescent="0.25">
      <c r="A5" s="147" t="s">
        <v>291</v>
      </c>
      <c r="B5" s="148">
        <v>0</v>
      </c>
      <c r="C5" s="148">
        <v>0</v>
      </c>
      <c r="D5" s="148">
        <v>0</v>
      </c>
      <c r="E5" s="148">
        <v>0</v>
      </c>
      <c r="F5" s="148">
        <v>0</v>
      </c>
    </row>
    <row r="6" spans="1:8" x14ac:dyDescent="0.25">
      <c r="A6" s="147" t="s">
        <v>97</v>
      </c>
      <c r="B6" s="148">
        <v>0</v>
      </c>
      <c r="C6" s="148">
        <v>0</v>
      </c>
      <c r="D6" s="148">
        <v>0</v>
      </c>
      <c r="E6" s="148">
        <v>0</v>
      </c>
      <c r="F6" s="148">
        <v>0</v>
      </c>
    </row>
    <row r="7" spans="1:8" x14ac:dyDescent="0.25">
      <c r="A7" s="145" t="s">
        <v>417</v>
      </c>
      <c r="B7" s="148"/>
      <c r="C7" s="148"/>
      <c r="D7" s="148"/>
      <c r="E7" s="148"/>
      <c r="F7" s="148"/>
    </row>
    <row r="8" spans="1:8" ht="13" thickBot="1" x14ac:dyDescent="0.3">
      <c r="A8" s="153" t="s">
        <v>16</v>
      </c>
      <c r="B8" s="154">
        <f>SUM(B4:B6)</f>
        <v>0</v>
      </c>
      <c r="C8" s="154">
        <f>SUM(C4:C6)</f>
        <v>0</v>
      </c>
      <c r="D8" s="154">
        <f>SUM(D4:D5)</f>
        <v>0</v>
      </c>
      <c r="E8" s="154">
        <f t="shared" ref="E8:F8" si="0">SUM(E4:E5)</f>
        <v>0</v>
      </c>
      <c r="F8" s="154">
        <f t="shared" si="0"/>
        <v>0</v>
      </c>
    </row>
    <row r="9" spans="1:8" ht="13" thickTop="1" x14ac:dyDescent="0.25">
      <c r="B9" s="150"/>
      <c r="C9" s="150"/>
      <c r="D9" s="150"/>
    </row>
    <row r="10" spans="1:8" x14ac:dyDescent="0.25">
      <c r="A10" s="144" t="s">
        <v>96</v>
      </c>
    </row>
    <row r="11" spans="1:8" x14ac:dyDescent="0.25">
      <c r="A11" s="145" t="s">
        <v>290</v>
      </c>
      <c r="B11" s="148"/>
      <c r="C11" s="148"/>
      <c r="D11" s="148"/>
      <c r="E11" s="148"/>
      <c r="F11" s="148"/>
    </row>
    <row r="12" spans="1:8" x14ac:dyDescent="0.25">
      <c r="A12" s="145" t="s">
        <v>291</v>
      </c>
      <c r="B12" s="148"/>
      <c r="C12" s="148"/>
      <c r="D12" s="148"/>
      <c r="E12" s="148"/>
      <c r="F12" s="148"/>
    </row>
    <row r="13" spans="1:8" x14ac:dyDescent="0.25">
      <c r="A13" s="145" t="s">
        <v>292</v>
      </c>
      <c r="B13" s="148"/>
      <c r="C13" s="148"/>
      <c r="D13" s="148"/>
      <c r="E13" s="148"/>
      <c r="F13" s="148"/>
    </row>
    <row r="14" spans="1:8" x14ac:dyDescent="0.25">
      <c r="A14" s="145" t="s">
        <v>417</v>
      </c>
      <c r="B14" s="148">
        <f>B60</f>
        <v>0</v>
      </c>
      <c r="C14" s="148">
        <f t="shared" ref="C14:F14" si="1">C60</f>
        <v>0</v>
      </c>
      <c r="D14" s="148">
        <f t="shared" si="1"/>
        <v>0</v>
      </c>
      <c r="E14" s="148">
        <f t="shared" si="1"/>
        <v>0</v>
      </c>
      <c r="F14" s="148">
        <f t="shared" si="1"/>
        <v>0</v>
      </c>
    </row>
    <row r="15" spans="1:8" ht="13" thickBot="1" x14ac:dyDescent="0.3">
      <c r="A15" s="153" t="s">
        <v>16</v>
      </c>
      <c r="B15" s="154">
        <f>SUM(B11:B13)</f>
        <v>0</v>
      </c>
      <c r="C15" s="154">
        <f>SUM(C11:C13)</f>
        <v>0</v>
      </c>
      <c r="D15" s="154">
        <f>SUM(D11:D13)</f>
        <v>0</v>
      </c>
      <c r="E15" s="154">
        <f>SUM(E11:E13)</f>
        <v>0</v>
      </c>
      <c r="F15" s="154">
        <f>SUM(F11:F13)</f>
        <v>0</v>
      </c>
      <c r="H15" s="307"/>
    </row>
    <row r="16" spans="1:8" ht="13" thickTop="1" x14ac:dyDescent="0.25">
      <c r="B16" s="148"/>
      <c r="C16" s="148"/>
      <c r="D16" s="148"/>
    </row>
    <row r="17" spans="1:5" x14ac:dyDescent="0.25">
      <c r="A17" s="144" t="s">
        <v>290</v>
      </c>
    </row>
    <row r="18" spans="1:5" x14ac:dyDescent="0.25">
      <c r="A18" s="145" t="s">
        <v>294</v>
      </c>
      <c r="B18" s="344"/>
    </row>
    <row r="19" spans="1:5" x14ac:dyDescent="0.25">
      <c r="A19" s="145" t="s">
        <v>293</v>
      </c>
      <c r="B19" s="155"/>
    </row>
    <row r="20" spans="1:5" x14ac:dyDescent="0.25">
      <c r="A20" s="156" t="s">
        <v>1</v>
      </c>
      <c r="B20" s="157" t="s">
        <v>96</v>
      </c>
      <c r="C20" s="157" t="s">
        <v>98</v>
      </c>
      <c r="D20" s="157" t="s">
        <v>16</v>
      </c>
      <c r="E20" s="157" t="s">
        <v>99</v>
      </c>
    </row>
    <row r="21" spans="1:5" x14ac:dyDescent="0.25">
      <c r="A21" s="145" t="s">
        <v>100</v>
      </c>
      <c r="B21" s="149"/>
      <c r="C21" s="149"/>
      <c r="D21" s="149">
        <f>B21+C21</f>
        <v>0</v>
      </c>
      <c r="E21" s="149">
        <f>B18-C21</f>
        <v>0</v>
      </c>
    </row>
    <row r="22" spans="1:5" x14ac:dyDescent="0.25">
      <c r="A22" s="145" t="s">
        <v>101</v>
      </c>
      <c r="B22" s="149"/>
      <c r="C22" s="149"/>
      <c r="D22" s="149">
        <f t="shared" ref="D22:D26" si="2">B22+C22</f>
        <v>0</v>
      </c>
      <c r="E22" s="149">
        <f>E21-C22</f>
        <v>0</v>
      </c>
    </row>
    <row r="23" spans="1:5" x14ac:dyDescent="0.25">
      <c r="A23" s="145" t="s">
        <v>102</v>
      </c>
      <c r="B23" s="149"/>
      <c r="C23" s="149"/>
      <c r="D23" s="149">
        <f t="shared" si="2"/>
        <v>0</v>
      </c>
      <c r="E23" s="149">
        <f t="shared" ref="E23:E26" si="3">E22-C23</f>
        <v>0</v>
      </c>
    </row>
    <row r="24" spans="1:5" x14ac:dyDescent="0.25">
      <c r="A24" s="145" t="s">
        <v>103</v>
      </c>
      <c r="B24" s="149"/>
      <c r="C24" s="149"/>
      <c r="D24" s="149">
        <f t="shared" si="2"/>
        <v>0</v>
      </c>
      <c r="E24" s="149">
        <f t="shared" si="3"/>
        <v>0</v>
      </c>
    </row>
    <row r="25" spans="1:5" x14ac:dyDescent="0.25">
      <c r="A25" s="145" t="s">
        <v>104</v>
      </c>
      <c r="B25" s="149"/>
      <c r="C25" s="149"/>
      <c r="D25" s="149">
        <f t="shared" si="2"/>
        <v>0</v>
      </c>
      <c r="E25" s="149">
        <f t="shared" si="3"/>
        <v>0</v>
      </c>
    </row>
    <row r="26" spans="1:5" x14ac:dyDescent="0.25">
      <c r="A26" s="145" t="s">
        <v>105</v>
      </c>
      <c r="B26" s="149"/>
      <c r="C26" s="149"/>
      <c r="D26" s="149">
        <f t="shared" si="2"/>
        <v>0</v>
      </c>
      <c r="E26" s="149">
        <f t="shared" si="3"/>
        <v>0</v>
      </c>
    </row>
    <row r="27" spans="1:5" x14ac:dyDescent="0.25">
      <c r="A27" s="158" t="s">
        <v>106</v>
      </c>
      <c r="B27" s="159">
        <f>SUM(B21:B26)</f>
        <v>0</v>
      </c>
      <c r="C27" s="159">
        <f t="shared" ref="C27:D27" si="4">SUM(C21:C26)</f>
        <v>0</v>
      </c>
      <c r="D27" s="159">
        <f t="shared" si="4"/>
        <v>0</v>
      </c>
      <c r="E27" s="160"/>
    </row>
    <row r="29" spans="1:5" x14ac:dyDescent="0.25">
      <c r="A29" s="144" t="s">
        <v>291</v>
      </c>
    </row>
    <row r="30" spans="1:5" x14ac:dyDescent="0.25">
      <c r="A30" s="145" t="s">
        <v>294</v>
      </c>
      <c r="B30" s="344"/>
    </row>
    <row r="31" spans="1:5" x14ac:dyDescent="0.25">
      <c r="A31" s="145" t="s">
        <v>293</v>
      </c>
      <c r="B31" s="155"/>
    </row>
    <row r="32" spans="1:5" x14ac:dyDescent="0.25">
      <c r="A32" s="156" t="s">
        <v>1</v>
      </c>
      <c r="B32" s="157" t="s">
        <v>96</v>
      </c>
      <c r="C32" s="157" t="s">
        <v>98</v>
      </c>
      <c r="D32" s="157" t="s">
        <v>16</v>
      </c>
      <c r="E32" s="157" t="s">
        <v>99</v>
      </c>
    </row>
    <row r="33" spans="1:5" x14ac:dyDescent="0.25">
      <c r="A33" s="145" t="s">
        <v>100</v>
      </c>
      <c r="B33" s="149"/>
      <c r="C33" s="149"/>
      <c r="D33" s="149">
        <f>B33+C33</f>
        <v>0</v>
      </c>
      <c r="E33" s="149">
        <f>B30-C33</f>
        <v>0</v>
      </c>
    </row>
    <row r="34" spans="1:5" x14ac:dyDescent="0.25">
      <c r="A34" s="145" t="s">
        <v>101</v>
      </c>
      <c r="B34" s="149"/>
      <c r="C34" s="149"/>
      <c r="D34" s="149">
        <f t="shared" ref="D34:D38" si="5">B34+C34</f>
        <v>0</v>
      </c>
      <c r="E34" s="149">
        <f>E33-C34</f>
        <v>0</v>
      </c>
    </row>
    <row r="35" spans="1:5" x14ac:dyDescent="0.25">
      <c r="A35" s="145" t="s">
        <v>102</v>
      </c>
      <c r="B35" s="149"/>
      <c r="C35" s="149"/>
      <c r="D35" s="149">
        <f t="shared" si="5"/>
        <v>0</v>
      </c>
      <c r="E35" s="149">
        <f t="shared" ref="E35:E38" si="6">E34-C35</f>
        <v>0</v>
      </c>
    </row>
    <row r="36" spans="1:5" x14ac:dyDescent="0.25">
      <c r="A36" s="145" t="s">
        <v>103</v>
      </c>
      <c r="B36" s="149"/>
      <c r="C36" s="149"/>
      <c r="D36" s="149">
        <f t="shared" si="5"/>
        <v>0</v>
      </c>
      <c r="E36" s="149">
        <f t="shared" si="6"/>
        <v>0</v>
      </c>
    </row>
    <row r="37" spans="1:5" x14ac:dyDescent="0.25">
      <c r="A37" s="145" t="s">
        <v>104</v>
      </c>
      <c r="B37" s="149"/>
      <c r="C37" s="149"/>
      <c r="D37" s="149">
        <f t="shared" si="5"/>
        <v>0</v>
      </c>
      <c r="E37" s="149">
        <f t="shared" si="6"/>
        <v>0</v>
      </c>
    </row>
    <row r="38" spans="1:5" x14ac:dyDescent="0.25">
      <c r="A38" s="145" t="s">
        <v>105</v>
      </c>
      <c r="B38" s="149"/>
      <c r="C38" s="149"/>
      <c r="D38" s="149">
        <f t="shared" si="5"/>
        <v>0</v>
      </c>
      <c r="E38" s="149">
        <f t="shared" si="6"/>
        <v>0</v>
      </c>
    </row>
    <row r="39" spans="1:5" x14ac:dyDescent="0.25">
      <c r="A39" s="158" t="s">
        <v>107</v>
      </c>
      <c r="B39" s="161">
        <f>SUM(B33:B38)</f>
        <v>0</v>
      </c>
      <c r="C39" s="161">
        <f>SUM(C33:C38)</f>
        <v>0</v>
      </c>
      <c r="D39" s="158"/>
      <c r="E39" s="158"/>
    </row>
    <row r="40" spans="1:5" ht="13" thickBot="1" x14ac:dyDescent="0.3">
      <c r="A40" s="162" t="s">
        <v>108</v>
      </c>
      <c r="B40" s="163">
        <f>B27+B39</f>
        <v>0</v>
      </c>
      <c r="C40" s="163">
        <f>C27+C39</f>
        <v>0</v>
      </c>
      <c r="D40" s="163"/>
      <c r="E40" s="162"/>
    </row>
    <row r="42" spans="1:5" x14ac:dyDescent="0.25">
      <c r="A42" s="144" t="s">
        <v>292</v>
      </c>
    </row>
    <row r="43" spans="1:5" x14ac:dyDescent="0.25">
      <c r="A43" s="145" t="s">
        <v>294</v>
      </c>
      <c r="B43" s="344"/>
    </row>
    <row r="44" spans="1:5" x14ac:dyDescent="0.25">
      <c r="A44" s="145" t="s">
        <v>293</v>
      </c>
      <c r="B44" s="155"/>
    </row>
    <row r="45" spans="1:5" x14ac:dyDescent="0.25">
      <c r="A45" s="156" t="s">
        <v>1</v>
      </c>
      <c r="B45" s="157" t="s">
        <v>96</v>
      </c>
      <c r="C45" s="157" t="s">
        <v>98</v>
      </c>
      <c r="D45" s="157" t="s">
        <v>16</v>
      </c>
      <c r="E45" s="157" t="s">
        <v>99</v>
      </c>
    </row>
    <row r="46" spans="1:5" x14ac:dyDescent="0.25">
      <c r="A46" s="145" t="s">
        <v>100</v>
      </c>
      <c r="B46" s="149"/>
      <c r="C46" s="149"/>
      <c r="D46" s="149">
        <f>B46+C46</f>
        <v>0</v>
      </c>
      <c r="E46" s="149">
        <f>B43-C46</f>
        <v>0</v>
      </c>
    </row>
    <row r="47" spans="1:5" x14ac:dyDescent="0.25">
      <c r="A47" s="145" t="s">
        <v>101</v>
      </c>
      <c r="B47" s="149"/>
      <c r="C47" s="149"/>
      <c r="D47" s="149">
        <f t="shared" ref="D47:D51" si="7">B47+C47</f>
        <v>0</v>
      </c>
      <c r="E47" s="149">
        <f>E46-C47</f>
        <v>0</v>
      </c>
    </row>
    <row r="48" spans="1:5" x14ac:dyDescent="0.25">
      <c r="A48" s="145" t="s">
        <v>102</v>
      </c>
      <c r="B48" s="149"/>
      <c r="C48" s="149"/>
      <c r="D48" s="149">
        <f t="shared" si="7"/>
        <v>0</v>
      </c>
      <c r="E48" s="149">
        <f t="shared" ref="E48:E51" si="8">E47-C48</f>
        <v>0</v>
      </c>
    </row>
    <row r="49" spans="1:6" x14ac:dyDescent="0.25">
      <c r="A49" s="145" t="s">
        <v>103</v>
      </c>
      <c r="B49" s="149"/>
      <c r="C49" s="149"/>
      <c r="D49" s="149">
        <f t="shared" si="7"/>
        <v>0</v>
      </c>
      <c r="E49" s="149">
        <f t="shared" si="8"/>
        <v>0</v>
      </c>
    </row>
    <row r="50" spans="1:6" x14ac:dyDescent="0.25">
      <c r="A50" s="145" t="s">
        <v>104</v>
      </c>
      <c r="B50" s="149"/>
      <c r="C50" s="149"/>
      <c r="D50" s="149">
        <f t="shared" si="7"/>
        <v>0</v>
      </c>
      <c r="E50" s="149">
        <f t="shared" si="8"/>
        <v>0</v>
      </c>
    </row>
    <row r="51" spans="1:6" x14ac:dyDescent="0.25">
      <c r="A51" s="145" t="s">
        <v>105</v>
      </c>
      <c r="B51" s="149"/>
      <c r="C51" s="149"/>
      <c r="D51" s="149">
        <f t="shared" si="7"/>
        <v>0</v>
      </c>
      <c r="E51" s="149">
        <f t="shared" si="8"/>
        <v>0</v>
      </c>
    </row>
    <row r="52" spans="1:6" x14ac:dyDescent="0.25">
      <c r="A52" s="158" t="s">
        <v>107</v>
      </c>
      <c r="B52" s="161">
        <f>SUM(B46:B51)</f>
        <v>0</v>
      </c>
      <c r="C52" s="161">
        <f>SUM(C46:C51)</f>
        <v>0</v>
      </c>
      <c r="D52" s="158"/>
      <c r="E52" s="158"/>
    </row>
    <row r="53" spans="1:6" ht="13" thickBot="1" x14ac:dyDescent="0.3">
      <c r="A53" s="162" t="s">
        <v>108</v>
      </c>
      <c r="B53" s="163">
        <f>B40+B52</f>
        <v>0</v>
      </c>
      <c r="C53" s="163">
        <f>C40+C52</f>
        <v>0</v>
      </c>
      <c r="D53" s="163"/>
      <c r="E53" s="162"/>
    </row>
    <row r="55" spans="1:6" x14ac:dyDescent="0.25">
      <c r="A55" s="144" t="s">
        <v>273</v>
      </c>
      <c r="B55" s="340">
        <v>0.12</v>
      </c>
      <c r="C55" s="145" t="s">
        <v>418</v>
      </c>
    </row>
    <row r="56" spans="1:6" x14ac:dyDescent="0.25">
      <c r="A56" s="144" t="s">
        <v>304</v>
      </c>
      <c r="B56" s="345"/>
      <c r="C56" s="346"/>
      <c r="D56" s="346"/>
      <c r="E56" s="346"/>
      <c r="F56" s="346"/>
    </row>
    <row r="57" spans="1:6" x14ac:dyDescent="0.25">
      <c r="A57" s="156" t="s">
        <v>1</v>
      </c>
      <c r="B57" s="157" t="s">
        <v>274</v>
      </c>
      <c r="C57" s="157" t="s">
        <v>275</v>
      </c>
      <c r="D57" s="157" t="s">
        <v>276</v>
      </c>
      <c r="E57" s="157" t="s">
        <v>277</v>
      </c>
      <c r="F57" s="157" t="s">
        <v>278</v>
      </c>
    </row>
    <row r="58" spans="1:6" x14ac:dyDescent="0.25">
      <c r="B58" s="149"/>
      <c r="C58" s="149"/>
      <c r="D58" s="149"/>
      <c r="E58" s="149"/>
    </row>
    <row r="59" spans="1:6" x14ac:dyDescent="0.25">
      <c r="A59" s="145" t="s">
        <v>279</v>
      </c>
      <c r="B59" s="149">
        <f>B56</f>
        <v>0</v>
      </c>
      <c r="C59" s="149">
        <f>C56</f>
        <v>0</v>
      </c>
      <c r="D59" s="149">
        <f t="shared" ref="D59:F59" si="9">D56</f>
        <v>0</v>
      </c>
      <c r="E59" s="149">
        <f t="shared" si="9"/>
        <v>0</v>
      </c>
      <c r="F59" s="149">
        <f t="shared" si="9"/>
        <v>0</v>
      </c>
    </row>
    <row r="60" spans="1:6" x14ac:dyDescent="0.25">
      <c r="A60" s="145" t="s">
        <v>283</v>
      </c>
      <c r="B60" s="149">
        <f>$B$55*B59</f>
        <v>0</v>
      </c>
      <c r="C60" s="149">
        <f t="shared" ref="C60:F60" si="10">$B$55*C59</f>
        <v>0</v>
      </c>
      <c r="D60" s="149">
        <f t="shared" si="10"/>
        <v>0</v>
      </c>
      <c r="E60" s="149">
        <f t="shared" si="10"/>
        <v>0</v>
      </c>
      <c r="F60" s="149">
        <f t="shared" si="10"/>
        <v>0</v>
      </c>
    </row>
    <row r="61" spans="1:6" ht="13" thickBot="1" x14ac:dyDescent="0.3">
      <c r="A61" s="162"/>
      <c r="B61" s="163"/>
      <c r="C61" s="163"/>
      <c r="D61" s="163"/>
      <c r="E61" s="162"/>
      <c r="F61" s="16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23"/>
  <sheetViews>
    <sheetView workbookViewId="0"/>
  </sheetViews>
  <sheetFormatPr defaultColWidth="9.1796875" defaultRowHeight="12" x14ac:dyDescent="0.3"/>
  <cols>
    <col min="1" max="1" width="9.1796875" style="1"/>
    <col min="2" max="2" width="28" style="1" customWidth="1"/>
    <col min="3" max="3" width="10.6328125" style="1" customWidth="1"/>
    <col min="4" max="4" width="11.36328125" style="1" bestFit="1" customWidth="1"/>
    <col min="5" max="5" width="13.36328125" style="1" customWidth="1"/>
    <col min="6" max="6" width="12.1796875" style="1" bestFit="1" customWidth="1"/>
    <col min="7" max="7" width="9.81640625" style="1" bestFit="1" customWidth="1"/>
    <col min="8" max="16384" width="9.1796875" style="1"/>
  </cols>
  <sheetData>
    <row r="1" spans="2:13" s="5" customFormat="1" ht="12.5" x14ac:dyDescent="0.35">
      <c r="B1" s="5" t="s">
        <v>0</v>
      </c>
      <c r="I1" s="10"/>
      <c r="J1" s="10"/>
      <c r="K1" s="10"/>
      <c r="L1" s="10"/>
      <c r="M1" s="10"/>
    </row>
    <row r="3" spans="2:13" x14ac:dyDescent="0.3">
      <c r="B3" s="2" t="s">
        <v>81</v>
      </c>
      <c r="C3" s="2"/>
    </row>
    <row r="4" spans="2:13" x14ac:dyDescent="0.3">
      <c r="B4" s="5" t="s">
        <v>74</v>
      </c>
      <c r="C4" s="8" t="s">
        <v>2</v>
      </c>
      <c r="D4" s="8" t="s">
        <v>3</v>
      </c>
      <c r="E4" s="8" t="s">
        <v>4</v>
      </c>
    </row>
    <row r="5" spans="2:13" x14ac:dyDescent="0.3">
      <c r="B5" s="1" t="s">
        <v>80</v>
      </c>
      <c r="C5" s="1">
        <v>2.2799999999999998</v>
      </c>
      <c r="D5" s="9">
        <v>3.72</v>
      </c>
      <c r="E5" s="9">
        <v>5.1389260999999999</v>
      </c>
      <c r="F5" s="3"/>
    </row>
    <row r="6" spans="2:13" x14ac:dyDescent="0.3">
      <c r="B6" s="1" t="s">
        <v>5</v>
      </c>
      <c r="C6" s="9">
        <f>(-21771880+462920)/10000000</f>
        <v>-2.1308959999999999</v>
      </c>
      <c r="D6" s="9">
        <v>-3.1033284999999999</v>
      </c>
      <c r="E6" s="9">
        <v>-3.95</v>
      </c>
      <c r="F6" s="3"/>
    </row>
    <row r="7" spans="2:13" x14ac:dyDescent="0.3">
      <c r="B7" s="1" t="s">
        <v>75</v>
      </c>
      <c r="C7" s="9">
        <v>-0.13475090000000001</v>
      </c>
      <c r="D7" s="9">
        <v>-0.52283539999999995</v>
      </c>
      <c r="E7" s="9">
        <v>-0.95</v>
      </c>
      <c r="F7" s="3"/>
      <c r="G7" s="4"/>
    </row>
    <row r="8" spans="2:13" x14ac:dyDescent="0.3">
      <c r="B8" s="14" t="s">
        <v>6</v>
      </c>
      <c r="C8" s="16">
        <f>SUM(C5:C7)</f>
        <v>1.4353099999999896E-2</v>
      </c>
      <c r="D8" s="16">
        <f>SUM(D5:D7)</f>
        <v>9.3836100000000311E-2</v>
      </c>
      <c r="E8" s="16">
        <f>SUM(E5:E7)</f>
        <v>0.23892609999999981</v>
      </c>
      <c r="F8" s="3"/>
    </row>
    <row r="9" spans="2:13" x14ac:dyDescent="0.3">
      <c r="B9" s="1" t="s">
        <v>7</v>
      </c>
      <c r="C9" s="13">
        <v>-0.1770003</v>
      </c>
      <c r="D9" s="13">
        <v>-0.28156429999999999</v>
      </c>
      <c r="E9" s="13">
        <v>-0.35</v>
      </c>
      <c r="F9" s="3"/>
    </row>
    <row r="10" spans="2:13" x14ac:dyDescent="0.3">
      <c r="B10" s="1" t="s">
        <v>76</v>
      </c>
      <c r="C10" s="13">
        <v>0</v>
      </c>
      <c r="D10" s="13">
        <v>-1.4999999999999999E-2</v>
      </c>
      <c r="E10" s="13">
        <v>-0.02</v>
      </c>
      <c r="F10" s="3"/>
      <c r="G10" s="4"/>
    </row>
    <row r="11" spans="2:13" x14ac:dyDescent="0.3">
      <c r="B11" s="1" t="s">
        <v>77</v>
      </c>
      <c r="C11" s="13">
        <f>-442029/10000000</f>
        <v>-4.4202900000000003E-2</v>
      </c>
      <c r="D11" s="13">
        <v>-0.3660948</v>
      </c>
      <c r="E11" s="13">
        <v>-0.25</v>
      </c>
      <c r="F11" s="3"/>
    </row>
    <row r="12" spans="2:13" x14ac:dyDescent="0.3">
      <c r="B12" s="14" t="s">
        <v>8</v>
      </c>
      <c r="C12" s="15">
        <f>SUM(C8:C11)</f>
        <v>-0.20685010000000009</v>
      </c>
      <c r="D12" s="15">
        <f>SUM(D8:D11)</f>
        <v>-0.56882299999999963</v>
      </c>
      <c r="E12" s="15">
        <f>SUM(E8:E11)</f>
        <v>-0.38107390000000019</v>
      </c>
    </row>
    <row r="13" spans="2:13" x14ac:dyDescent="0.3">
      <c r="B13" s="1" t="s">
        <v>9</v>
      </c>
      <c r="C13" s="18">
        <v>-3.4074000000000001E-3</v>
      </c>
      <c r="D13" s="13">
        <v>-2E-3</v>
      </c>
      <c r="E13" s="13">
        <v>-8.8999999999999999E-3</v>
      </c>
    </row>
    <row r="14" spans="2:13" x14ac:dyDescent="0.3">
      <c r="B14" s="14" t="s">
        <v>10</v>
      </c>
      <c r="C14" s="15">
        <f t="shared" ref="C14:E14" si="0">C12+C13</f>
        <v>-0.2102575000000001</v>
      </c>
      <c r="D14" s="15">
        <f t="shared" si="0"/>
        <v>-0.57082299999999964</v>
      </c>
      <c r="E14" s="15">
        <f t="shared" si="0"/>
        <v>-0.38997390000000021</v>
      </c>
    </row>
    <row r="15" spans="2:13" x14ac:dyDescent="0.3">
      <c r="B15" s="1" t="s">
        <v>11</v>
      </c>
      <c r="C15" s="18">
        <v>-3.1814E-3</v>
      </c>
      <c r="D15" s="13">
        <f>-64215/10000000</f>
        <v>-6.4215000000000001E-3</v>
      </c>
      <c r="E15" s="13">
        <v>-1.2200000000000001E-2</v>
      </c>
      <c r="F15" s="6"/>
      <c r="G15" s="7"/>
    </row>
    <row r="16" spans="2:13" ht="12.5" thickBot="1" x14ac:dyDescent="0.35">
      <c r="B16" s="11" t="s">
        <v>12</v>
      </c>
      <c r="C16" s="17">
        <f>C14+C15</f>
        <v>-0.2134389000000001</v>
      </c>
      <c r="D16" s="17">
        <f>D14+D15</f>
        <v>-0.57724449999999961</v>
      </c>
      <c r="E16" s="17">
        <f>E14+E15</f>
        <v>-0.4021739000000002</v>
      </c>
    </row>
    <row r="18" spans="2:6" x14ac:dyDescent="0.3">
      <c r="B18" s="1" t="s">
        <v>78</v>
      </c>
      <c r="C18" s="12" t="s">
        <v>72</v>
      </c>
      <c r="D18" s="7">
        <f>D5/C5-1</f>
        <v>0.63157894736842124</v>
      </c>
      <c r="E18" s="7">
        <f>E5/D5-1</f>
        <v>0.38143174731182783</v>
      </c>
    </row>
    <row r="19" spans="2:6" x14ac:dyDescent="0.3">
      <c r="B19" s="1" t="s">
        <v>55</v>
      </c>
      <c r="C19" s="7">
        <f>C8/C5</f>
        <v>6.2952192982455692E-3</v>
      </c>
      <c r="D19" s="7">
        <f>D8/D5</f>
        <v>2.5224758064516212E-2</v>
      </c>
      <c r="E19" s="7">
        <f>E8/E5</f>
        <v>4.6493390905154253E-2</v>
      </c>
    </row>
    <row r="20" spans="2:6" x14ac:dyDescent="0.3">
      <c r="B20" s="1" t="s">
        <v>54</v>
      </c>
      <c r="C20" s="7">
        <f>C12/C5</f>
        <v>-9.072372807017548E-2</v>
      </c>
      <c r="D20" s="7">
        <f>D12/D5</f>
        <v>-0.15290940860215044</v>
      </c>
      <c r="E20" s="7">
        <f>E12/E5</f>
        <v>-7.415438412317317E-2</v>
      </c>
    </row>
    <row r="21" spans="2:6" x14ac:dyDescent="0.3">
      <c r="B21" s="1" t="s">
        <v>79</v>
      </c>
      <c r="C21" s="7">
        <f>-C9/C5</f>
        <v>7.7631710526315789E-2</v>
      </c>
      <c r="D21" s="7">
        <f>-D9/D5</f>
        <v>7.5689327956989239E-2</v>
      </c>
      <c r="E21" s="7">
        <f>-E9/E5</f>
        <v>6.8107614935346117E-2</v>
      </c>
    </row>
    <row r="23" spans="2:6" x14ac:dyDescent="0.3">
      <c r="F23" s="164" t="s">
        <v>268</v>
      </c>
    </row>
  </sheetData>
  <pageMargins left="0.7" right="0.7" top="0.75" bottom="0.75" header="0.3" footer="0.3"/>
  <pageSetup orientation="portrait" r:id="rId1"/>
  <ignoredErrors>
    <ignoredError sqref="D1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topLeftCell="A24" workbookViewId="0">
      <selection activeCell="B3" sqref="B3:J45"/>
    </sheetView>
  </sheetViews>
  <sheetFormatPr defaultColWidth="8.6328125" defaultRowHeight="14" x14ac:dyDescent="0.3"/>
  <cols>
    <col min="1" max="1" width="4.453125" style="168" customWidth="1"/>
    <col min="2" max="2" width="30.6328125" style="168" customWidth="1"/>
    <col min="3" max="3" width="14.453125" style="168" customWidth="1"/>
    <col min="4" max="6" width="13.6328125" style="168" customWidth="1"/>
    <col min="7" max="8" width="14.36328125" style="168" customWidth="1"/>
    <col min="9" max="9" width="18.36328125" style="168" customWidth="1"/>
    <col min="10" max="10" width="12" style="168" customWidth="1"/>
    <col min="11" max="16384" width="8.6328125" style="168"/>
  </cols>
  <sheetData>
    <row r="1" spans="1:10" x14ac:dyDescent="0.3">
      <c r="A1" s="167"/>
      <c r="B1" s="167" t="s">
        <v>0</v>
      </c>
      <c r="C1" s="167" t="s">
        <v>267</v>
      </c>
      <c r="D1" s="167"/>
      <c r="E1" s="167"/>
      <c r="F1" s="167"/>
      <c r="G1" s="167"/>
      <c r="H1" s="167"/>
      <c r="I1" s="167"/>
    </row>
    <row r="2" spans="1:10" x14ac:dyDescent="0.3">
      <c r="A2" s="167"/>
      <c r="B2" s="167"/>
      <c r="C2" s="167"/>
      <c r="D2" s="167"/>
      <c r="E2" s="167"/>
      <c r="F2" s="167"/>
      <c r="G2" s="167"/>
      <c r="H2" s="167"/>
      <c r="I2" s="167"/>
    </row>
    <row r="3" spans="1:10" x14ac:dyDescent="0.3">
      <c r="A3" s="167"/>
      <c r="B3" s="169" t="s">
        <v>211</v>
      </c>
      <c r="C3" s="167"/>
      <c r="D3" s="167"/>
      <c r="E3" s="167"/>
      <c r="F3" s="167"/>
      <c r="G3" s="167"/>
      <c r="H3" s="167"/>
      <c r="I3" s="167"/>
    </row>
    <row r="4" spans="1:10" ht="23.5" x14ac:dyDescent="0.3">
      <c r="A4" s="167"/>
      <c r="B4" s="170" t="s">
        <v>212</v>
      </c>
      <c r="C4" s="171" t="s">
        <v>213</v>
      </c>
      <c r="D4" s="171" t="s">
        <v>214</v>
      </c>
      <c r="E4" s="171" t="s">
        <v>215</v>
      </c>
      <c r="F4" s="171" t="s">
        <v>266</v>
      </c>
      <c r="G4" s="172" t="s">
        <v>216</v>
      </c>
      <c r="H4" s="171" t="s">
        <v>266</v>
      </c>
      <c r="I4" s="173" t="s">
        <v>217</v>
      </c>
      <c r="J4" s="171" t="s">
        <v>266</v>
      </c>
    </row>
    <row r="5" spans="1:10" x14ac:dyDescent="0.3">
      <c r="A5" s="167"/>
      <c r="B5" s="167" t="s">
        <v>88</v>
      </c>
      <c r="C5" s="174">
        <v>22000000</v>
      </c>
      <c r="D5" s="174">
        <v>37200000</v>
      </c>
      <c r="E5" s="174">
        <v>46215939</v>
      </c>
      <c r="F5" s="229">
        <f>E5/E$7</f>
        <v>0.89565773255813952</v>
      </c>
      <c r="G5" s="174">
        <v>8042363</v>
      </c>
      <c r="H5" s="229">
        <f>G5/G$7</f>
        <v>0.35200202070327985</v>
      </c>
      <c r="I5" s="175">
        <f>G5/3*12</f>
        <v>32169452</v>
      </c>
      <c r="J5" s="229">
        <f>I5/I$7</f>
        <v>0.35200202070327985</v>
      </c>
    </row>
    <row r="6" spans="1:10" x14ac:dyDescent="0.3">
      <c r="A6" s="167"/>
      <c r="B6" s="167" t="s">
        <v>87</v>
      </c>
      <c r="C6" s="174">
        <v>0</v>
      </c>
      <c r="D6" s="174">
        <v>0</v>
      </c>
      <c r="E6" s="174">
        <v>5384061</v>
      </c>
      <c r="F6" s="229">
        <f>E6/E$7</f>
        <v>0.10434226744186047</v>
      </c>
      <c r="G6" s="174">
        <v>14805128</v>
      </c>
      <c r="H6" s="229">
        <f>G6/G$7</f>
        <v>0.64799797929672021</v>
      </c>
      <c r="I6" s="175">
        <f t="shared" ref="I6" si="0">G6/3*12</f>
        <v>59220512</v>
      </c>
      <c r="J6" s="229">
        <f>I6/I$7</f>
        <v>0.64799797929672021</v>
      </c>
    </row>
    <row r="7" spans="1:10" x14ac:dyDescent="0.3">
      <c r="A7" s="167"/>
      <c r="B7" s="176" t="s">
        <v>16</v>
      </c>
      <c r="C7" s="177">
        <f>SUM(C5:C6)</f>
        <v>22000000</v>
      </c>
      <c r="D7" s="177">
        <f t="shared" ref="D7:I7" si="1">SUM(D5:D6)</f>
        <v>37200000</v>
      </c>
      <c r="E7" s="177">
        <f t="shared" si="1"/>
        <v>51600000</v>
      </c>
      <c r="F7" s="177"/>
      <c r="G7" s="177">
        <f t="shared" si="1"/>
        <v>22847491</v>
      </c>
      <c r="H7" s="177"/>
      <c r="I7" s="178">
        <f t="shared" si="1"/>
        <v>91389964</v>
      </c>
    </row>
    <row r="8" spans="1:10" x14ac:dyDescent="0.3">
      <c r="A8" s="167"/>
      <c r="B8" s="167"/>
      <c r="C8" s="167"/>
      <c r="D8" s="167"/>
      <c r="E8" s="167"/>
      <c r="F8" s="167"/>
      <c r="G8" s="167"/>
      <c r="H8" s="167"/>
      <c r="I8" s="174"/>
    </row>
    <row r="9" spans="1:10" x14ac:dyDescent="0.3">
      <c r="A9" s="167"/>
      <c r="B9" s="179" t="s">
        <v>218</v>
      </c>
      <c r="C9" s="167"/>
      <c r="D9" s="167"/>
      <c r="E9" s="167"/>
      <c r="F9" s="167"/>
      <c r="G9" s="167"/>
      <c r="H9" s="167"/>
      <c r="I9" s="174"/>
    </row>
    <row r="10" spans="1:10" x14ac:dyDescent="0.3">
      <c r="A10" s="167"/>
      <c r="B10" s="180" t="s">
        <v>219</v>
      </c>
      <c r="C10" s="181">
        <v>502</v>
      </c>
      <c r="D10" s="181">
        <v>994</v>
      </c>
      <c r="E10" s="181">
        <v>1183</v>
      </c>
      <c r="F10" s="233">
        <f>E10/E30</f>
        <v>0.26728422955264347</v>
      </c>
      <c r="G10" s="181">
        <v>205</v>
      </c>
      <c r="H10" s="233">
        <f>G10/G30</f>
        <v>5.1007713361532717E-2</v>
      </c>
      <c r="I10" s="182">
        <f>G10/3*12</f>
        <v>820</v>
      </c>
      <c r="J10" s="233">
        <f>I10/I30</f>
        <v>5.1007713361532717E-2</v>
      </c>
    </row>
    <row r="11" spans="1:10" x14ac:dyDescent="0.3">
      <c r="A11" s="167"/>
      <c r="B11" s="183" t="s">
        <v>220</v>
      </c>
      <c r="C11" s="184">
        <v>7654</v>
      </c>
      <c r="D11" s="184">
        <v>11094</v>
      </c>
      <c r="E11" s="335">
        <v>6542</v>
      </c>
      <c r="F11" s="237">
        <f>E11/E31</f>
        <v>0.60624594569548695</v>
      </c>
      <c r="G11" s="185">
        <v>87</v>
      </c>
      <c r="H11" s="237">
        <f>G11/G31</f>
        <v>1.5220433869839048E-2</v>
      </c>
      <c r="I11" s="186">
        <f t="shared" ref="I11" si="2">G11/3*12</f>
        <v>348</v>
      </c>
      <c r="J11" s="237">
        <f>I11/I31</f>
        <v>1.5220433869839048E-2</v>
      </c>
    </row>
    <row r="12" spans="1:10" x14ac:dyDescent="0.3">
      <c r="A12" s="167"/>
      <c r="B12" s="230" t="s">
        <v>221</v>
      </c>
      <c r="C12" s="187">
        <f>C5/C10</f>
        <v>43824.701195219124</v>
      </c>
      <c r="D12" s="187">
        <f>D5/D10</f>
        <v>37424.54728370221</v>
      </c>
      <c r="E12" s="187">
        <f>E5/E10</f>
        <v>39066.727810650889</v>
      </c>
      <c r="F12" s="187"/>
      <c r="G12" s="187">
        <f>G5/G10</f>
        <v>39231.039024390244</v>
      </c>
      <c r="H12" s="187"/>
      <c r="I12" s="186">
        <f>I5/I10</f>
        <v>39231.039024390244</v>
      </c>
      <c r="J12" s="187"/>
    </row>
    <row r="13" spans="1:10" x14ac:dyDescent="0.3">
      <c r="A13" s="167"/>
      <c r="B13" s="188" t="s">
        <v>222</v>
      </c>
      <c r="C13" s="189">
        <f>C5/C11</f>
        <v>2874.3140841390123</v>
      </c>
      <c r="D13" s="189">
        <f>D5/D11</f>
        <v>3353.1638723634396</v>
      </c>
      <c r="E13" s="189">
        <f>E5/E11</f>
        <v>7064.4969428309387</v>
      </c>
      <c r="F13" s="189"/>
      <c r="G13" s="189">
        <f>G5/G11</f>
        <v>92440.954022988502</v>
      </c>
      <c r="H13" s="189"/>
      <c r="I13" s="190">
        <f>I5/I11</f>
        <v>92440.954022988502</v>
      </c>
      <c r="J13" s="189"/>
    </row>
    <row r="14" spans="1:10" x14ac:dyDescent="0.3">
      <c r="A14" s="167"/>
      <c r="B14" s="167"/>
      <c r="C14" s="167"/>
      <c r="D14" s="167"/>
      <c r="E14" s="167"/>
      <c r="F14" s="167"/>
      <c r="G14" s="167"/>
      <c r="H14" s="167"/>
      <c r="I14" s="167"/>
      <c r="J14" s="167"/>
    </row>
    <row r="15" spans="1:10" x14ac:dyDescent="0.3">
      <c r="A15" s="167"/>
      <c r="B15" s="167"/>
      <c r="C15" s="167"/>
      <c r="D15" s="167"/>
      <c r="E15" s="187"/>
      <c r="F15" s="167"/>
      <c r="G15" s="167"/>
      <c r="H15" s="167"/>
      <c r="I15" s="167"/>
      <c r="J15" s="167"/>
    </row>
    <row r="16" spans="1:10" x14ac:dyDescent="0.3">
      <c r="A16" s="167"/>
      <c r="B16" s="179" t="s">
        <v>223</v>
      </c>
      <c r="C16" s="167"/>
      <c r="D16" s="167"/>
      <c r="E16" s="187"/>
      <c r="F16" s="167"/>
      <c r="G16" s="167"/>
      <c r="H16" s="167"/>
      <c r="I16" s="167"/>
      <c r="J16" s="167"/>
    </row>
    <row r="17" spans="1:10" x14ac:dyDescent="0.3">
      <c r="A17" s="167"/>
      <c r="B17" s="180" t="s">
        <v>224</v>
      </c>
      <c r="C17" s="191">
        <v>0</v>
      </c>
      <c r="D17" s="191">
        <v>0</v>
      </c>
      <c r="E17" s="192">
        <v>3243</v>
      </c>
      <c r="F17" s="233">
        <f>E17/E30</f>
        <v>0.73271577044735658</v>
      </c>
      <c r="G17" s="192">
        <v>3814</v>
      </c>
      <c r="H17" s="233">
        <f>G17/G30</f>
        <v>0.94899228663846724</v>
      </c>
      <c r="I17" s="193">
        <f>G17/3*12</f>
        <v>15256</v>
      </c>
      <c r="J17" s="233">
        <f>I17/I30</f>
        <v>0.94899228663846724</v>
      </c>
    </row>
    <row r="18" spans="1:10" x14ac:dyDescent="0.3">
      <c r="A18" s="167"/>
      <c r="B18" s="183" t="s">
        <v>220</v>
      </c>
      <c r="C18" s="194">
        <v>0</v>
      </c>
      <c r="D18" s="194">
        <v>0</v>
      </c>
      <c r="E18" s="335">
        <v>4249</v>
      </c>
      <c r="F18" s="237">
        <f>E18/E31</f>
        <v>0.39375405430451305</v>
      </c>
      <c r="G18" s="184">
        <v>5629</v>
      </c>
      <c r="H18" s="237">
        <f>G18/G31</f>
        <v>0.98477956613016093</v>
      </c>
      <c r="I18" s="195">
        <f>G18/3*12</f>
        <v>22516</v>
      </c>
      <c r="J18" s="237">
        <f>I18/I31</f>
        <v>0.98477956613016093</v>
      </c>
    </row>
    <row r="19" spans="1:10" x14ac:dyDescent="0.3">
      <c r="A19" s="167"/>
      <c r="B19" s="183" t="s">
        <v>221</v>
      </c>
      <c r="C19" s="194">
        <v>0</v>
      </c>
      <c r="D19" s="194">
        <v>0</v>
      </c>
      <c r="E19" s="184">
        <f>E6/E17</f>
        <v>1660.2099907493061</v>
      </c>
      <c r="F19" s="184"/>
      <c r="G19" s="184">
        <f>G6/G17</f>
        <v>3881.7850026219194</v>
      </c>
      <c r="H19" s="184"/>
      <c r="I19" s="195">
        <f>I6/I17</f>
        <v>3881.7850026219194</v>
      </c>
    </row>
    <row r="20" spans="1:10" x14ac:dyDescent="0.3">
      <c r="A20" s="167"/>
      <c r="B20" s="183" t="s">
        <v>222</v>
      </c>
      <c r="C20" s="194">
        <v>0</v>
      </c>
      <c r="D20" s="194">
        <v>0</v>
      </c>
      <c r="E20" s="184">
        <f>E6/E18</f>
        <v>1267.1360320075312</v>
      </c>
      <c r="F20" s="184"/>
      <c r="G20" s="184">
        <f>G6/G18</f>
        <v>2630.1524249422632</v>
      </c>
      <c r="H20" s="184"/>
      <c r="I20" s="195">
        <f>I6/I18</f>
        <v>2630.1524249422632</v>
      </c>
    </row>
    <row r="21" spans="1:10" x14ac:dyDescent="0.3">
      <c r="A21" s="167"/>
      <c r="B21" s="183" t="s">
        <v>225</v>
      </c>
      <c r="C21" s="194">
        <v>0</v>
      </c>
      <c r="D21" s="194">
        <v>0</v>
      </c>
      <c r="E21" s="196">
        <f>E18/E17</f>
        <v>1.3102065988282454</v>
      </c>
      <c r="F21" s="196"/>
      <c r="G21" s="196">
        <f>G18/G17</f>
        <v>1.4758783429470372</v>
      </c>
      <c r="H21" s="196"/>
      <c r="I21" s="197">
        <f>I18/I17</f>
        <v>1.4758783429470372</v>
      </c>
    </row>
    <row r="22" spans="1:10" x14ac:dyDescent="0.3">
      <c r="A22" s="167"/>
      <c r="B22" s="183" t="s">
        <v>226</v>
      </c>
      <c r="C22" s="194">
        <v>0</v>
      </c>
      <c r="D22" s="194">
        <v>0</v>
      </c>
      <c r="E22" s="198">
        <v>400</v>
      </c>
      <c r="F22" s="198"/>
      <c r="G22" s="184">
        <v>893</v>
      </c>
      <c r="H22" s="184"/>
      <c r="I22" s="199">
        <f>I17*G23</f>
        <v>3572</v>
      </c>
    </row>
    <row r="23" spans="1:10" x14ac:dyDescent="0.3">
      <c r="A23" s="167"/>
      <c r="B23" s="183" t="s">
        <v>227</v>
      </c>
      <c r="C23" s="194">
        <v>0</v>
      </c>
      <c r="D23" s="194">
        <v>0</v>
      </c>
      <c r="E23" s="200">
        <f>E22/E17</f>
        <v>0.12334258402713537</v>
      </c>
      <c r="F23" s="200"/>
      <c r="G23" s="201">
        <f>G22/G17</f>
        <v>0.23413738856843208</v>
      </c>
      <c r="H23" s="201"/>
      <c r="I23" s="202">
        <f>I22/I17</f>
        <v>0.23413738856843208</v>
      </c>
    </row>
    <row r="24" spans="1:10" x14ac:dyDescent="0.3">
      <c r="A24" s="167"/>
      <c r="B24" s="188" t="s">
        <v>228</v>
      </c>
      <c r="C24" s="203">
        <v>0</v>
      </c>
      <c r="D24" s="203">
        <v>0</v>
      </c>
      <c r="E24" s="204">
        <v>10</v>
      </c>
      <c r="F24" s="204"/>
      <c r="G24" s="204">
        <v>26</v>
      </c>
      <c r="H24" s="204"/>
      <c r="I24" s="205">
        <v>26</v>
      </c>
    </row>
    <row r="25" spans="1:10" x14ac:dyDescent="0.3">
      <c r="A25" s="167"/>
      <c r="B25" s="179" t="s">
        <v>229</v>
      </c>
      <c r="C25" s="167"/>
      <c r="D25" s="167"/>
      <c r="E25" s="167"/>
      <c r="F25" s="167"/>
      <c r="G25" s="167"/>
      <c r="H25" s="167"/>
      <c r="I25" s="167"/>
    </row>
    <row r="26" spans="1:10" x14ac:dyDescent="0.3">
      <c r="A26" s="167"/>
      <c r="B26" s="167" t="s">
        <v>17</v>
      </c>
      <c r="C26" s="194">
        <v>0</v>
      </c>
      <c r="D26" s="194">
        <v>0</v>
      </c>
      <c r="E26" s="206" t="s">
        <v>72</v>
      </c>
      <c r="F26" s="206"/>
      <c r="G26" s="187">
        <v>5922051.2000000002</v>
      </c>
      <c r="H26" s="231">
        <f>G26/($G$26+$G$27+$G$28)</f>
        <v>0.4</v>
      </c>
      <c r="I26" s="207"/>
    </row>
    <row r="27" spans="1:10" x14ac:dyDescent="0.3">
      <c r="A27" s="167"/>
      <c r="B27" s="167" t="s">
        <v>53</v>
      </c>
      <c r="C27" s="194">
        <v>0</v>
      </c>
      <c r="D27" s="194">
        <v>0</v>
      </c>
      <c r="E27" s="206" t="s">
        <v>72</v>
      </c>
      <c r="F27" s="206"/>
      <c r="G27" s="187">
        <v>4441538.3999999994</v>
      </c>
      <c r="H27" s="231">
        <f t="shared" ref="H27:H28" si="3">G27/($G$26+$G$27+$G$28)</f>
        <v>0.3</v>
      </c>
      <c r="I27" s="207"/>
    </row>
    <row r="28" spans="1:10" x14ac:dyDescent="0.3">
      <c r="A28" s="167"/>
      <c r="B28" s="167" t="s">
        <v>52</v>
      </c>
      <c r="C28" s="194">
        <v>0</v>
      </c>
      <c r="D28" s="194">
        <v>0</v>
      </c>
      <c r="E28" s="206" t="s">
        <v>72</v>
      </c>
      <c r="F28" s="206"/>
      <c r="G28" s="187">
        <v>4441538.3999999994</v>
      </c>
      <c r="H28" s="231">
        <f t="shared" si="3"/>
        <v>0.3</v>
      </c>
      <c r="I28" s="207"/>
    </row>
    <row r="29" spans="1:10" x14ac:dyDescent="0.3">
      <c r="A29" s="167"/>
      <c r="B29" s="167"/>
      <c r="C29" s="167"/>
      <c r="D29" s="167"/>
      <c r="E29" s="167"/>
      <c r="F29" s="167"/>
      <c r="G29" s="167"/>
      <c r="H29" s="167"/>
      <c r="I29" s="167"/>
    </row>
    <row r="30" spans="1:10" x14ac:dyDescent="0.3">
      <c r="A30" s="167"/>
      <c r="B30" s="167" t="s">
        <v>261</v>
      </c>
      <c r="C30" s="167"/>
      <c r="D30" s="167"/>
      <c r="E30" s="187">
        <f>E10+E17</f>
        <v>4426</v>
      </c>
      <c r="F30" s="167"/>
      <c r="G30" s="187">
        <f>G10+G17</f>
        <v>4019</v>
      </c>
      <c r="H30" s="167"/>
      <c r="I30" s="187">
        <f>I10+I17</f>
        <v>16076</v>
      </c>
    </row>
    <row r="31" spans="1:10" x14ac:dyDescent="0.3">
      <c r="A31" s="167"/>
      <c r="B31" s="167" t="s">
        <v>262</v>
      </c>
      <c r="C31" s="167"/>
      <c r="D31" s="167"/>
      <c r="E31" s="187">
        <f>E11+E18</f>
        <v>10791</v>
      </c>
      <c r="F31" s="167"/>
      <c r="G31" s="187">
        <f>G11+G18</f>
        <v>5716</v>
      </c>
      <c r="H31" s="167"/>
      <c r="I31" s="187">
        <f>I11+I18</f>
        <v>22864</v>
      </c>
    </row>
    <row r="32" spans="1:10" x14ac:dyDescent="0.3">
      <c r="A32" s="167"/>
      <c r="B32" s="167" t="s">
        <v>265</v>
      </c>
      <c r="C32" s="167"/>
      <c r="D32" s="167"/>
      <c r="E32" s="234">
        <f>E11/E10</f>
        <v>5.5300084530853759</v>
      </c>
      <c r="F32" s="167"/>
      <c r="G32" s="234">
        <f>G11/G10</f>
        <v>0.42439024390243901</v>
      </c>
      <c r="H32" s="167"/>
      <c r="I32" s="236">
        <v>1.3</v>
      </c>
    </row>
    <row r="33" spans="1:9" x14ac:dyDescent="0.3">
      <c r="A33" s="167"/>
      <c r="B33" s="167" t="s">
        <v>264</v>
      </c>
      <c r="C33" s="167"/>
      <c r="D33" s="167"/>
      <c r="E33" s="235">
        <f>E18/E17</f>
        <v>1.3102065988282454</v>
      </c>
      <c r="F33" s="167"/>
      <c r="G33" s="235">
        <f>G18/G17</f>
        <v>1.4758783429470372</v>
      </c>
      <c r="H33" s="167"/>
      <c r="I33" s="235">
        <f>I18/I17</f>
        <v>1.4758783429470372</v>
      </c>
    </row>
    <row r="34" spans="1:9" x14ac:dyDescent="0.3">
      <c r="A34" s="167"/>
      <c r="B34" s="167" t="s">
        <v>263</v>
      </c>
      <c r="C34" s="167"/>
      <c r="D34" s="167"/>
      <c r="E34" s="232">
        <f>E31/E30</f>
        <v>2.4380930863081791</v>
      </c>
      <c r="F34" s="167"/>
      <c r="G34" s="232">
        <f>G31/G30</f>
        <v>1.4222443393879074</v>
      </c>
      <c r="H34" s="167"/>
      <c r="I34" s="232">
        <f>I31/I30</f>
        <v>1.4222443393879074</v>
      </c>
    </row>
    <row r="35" spans="1:9" x14ac:dyDescent="0.3">
      <c r="A35" s="167"/>
      <c r="B35" s="167"/>
      <c r="C35" s="167"/>
      <c r="D35" s="167"/>
      <c r="E35" s="167"/>
      <c r="F35" s="167"/>
      <c r="G35" s="167"/>
      <c r="H35" s="167"/>
      <c r="I35" s="167"/>
    </row>
    <row r="36" spans="1:9" x14ac:dyDescent="0.3">
      <c r="A36" s="167"/>
      <c r="B36" s="167"/>
      <c r="C36" s="167"/>
      <c r="D36" s="167"/>
      <c r="E36" s="167"/>
      <c r="F36" s="167"/>
      <c r="G36" s="167"/>
      <c r="H36" s="167"/>
      <c r="I36" s="167"/>
    </row>
    <row r="37" spans="1:9" x14ac:dyDescent="0.3">
      <c r="A37" s="167"/>
      <c r="B37" s="167"/>
      <c r="C37" s="167"/>
      <c r="D37" s="167"/>
      <c r="E37" s="167"/>
      <c r="F37" s="167"/>
      <c r="G37" s="167"/>
      <c r="H37" s="167"/>
      <c r="I37" s="167"/>
    </row>
    <row r="38" spans="1:9" x14ac:dyDescent="0.3">
      <c r="A38" s="167"/>
      <c r="B38" s="167"/>
      <c r="C38" s="167"/>
      <c r="D38" s="167"/>
      <c r="E38" s="167"/>
      <c r="F38" s="167"/>
      <c r="G38" s="167"/>
      <c r="H38" s="167"/>
      <c r="I38" s="167"/>
    </row>
    <row r="39" spans="1:9" x14ac:dyDescent="0.3">
      <c r="A39" s="167"/>
      <c r="B39" s="167"/>
      <c r="C39" s="167"/>
      <c r="D39" s="167"/>
      <c r="E39" s="167"/>
      <c r="F39" s="167"/>
      <c r="G39" s="167"/>
      <c r="H39" s="167"/>
      <c r="I39" s="167"/>
    </row>
    <row r="40" spans="1:9" x14ac:dyDescent="0.3">
      <c r="A40" s="167"/>
      <c r="B40" s="167" t="s">
        <v>230</v>
      </c>
      <c r="C40" s="167"/>
      <c r="D40" s="167"/>
      <c r="E40" s="167"/>
      <c r="F40" s="167"/>
      <c r="G40" s="167"/>
      <c r="H40" s="167"/>
      <c r="I40" s="308" t="s">
        <v>269</v>
      </c>
    </row>
    <row r="41" spans="1:9" x14ac:dyDescent="0.3">
      <c r="A41" s="167"/>
      <c r="B41" s="167"/>
      <c r="C41" s="167"/>
      <c r="D41" s="167"/>
      <c r="E41" s="167"/>
      <c r="F41" s="167"/>
      <c r="G41" s="167"/>
      <c r="H41" s="167"/>
      <c r="I41" s="167"/>
    </row>
    <row r="42" spans="1:9" x14ac:dyDescent="0.3">
      <c r="A42" s="167"/>
      <c r="B42" s="167" t="s">
        <v>231</v>
      </c>
      <c r="C42" s="167"/>
      <c r="D42" s="167"/>
      <c r="E42" s="167"/>
      <c r="F42" s="167"/>
      <c r="G42" s="167"/>
      <c r="H42" s="167"/>
      <c r="I42" s="167"/>
    </row>
    <row r="43" spans="1:9" x14ac:dyDescent="0.3">
      <c r="A43" s="167"/>
      <c r="B43" s="167" t="s">
        <v>232</v>
      </c>
      <c r="C43" s="167"/>
      <c r="D43" s="167"/>
      <c r="E43" s="167"/>
      <c r="F43" s="167"/>
      <c r="G43" s="167"/>
      <c r="H43" s="167"/>
      <c r="I43" s="167"/>
    </row>
    <row r="44" spans="1:9" x14ac:dyDescent="0.3">
      <c r="A44" s="167"/>
      <c r="B44" s="167"/>
      <c r="C44" s="167"/>
      <c r="D44" s="167"/>
      <c r="E44" s="167"/>
      <c r="F44" s="167"/>
      <c r="G44" s="167"/>
      <c r="H44" s="167"/>
      <c r="I44" s="167"/>
    </row>
    <row r="45" spans="1:9" x14ac:dyDescent="0.3">
      <c r="A45" s="167"/>
      <c r="B45" s="167" t="s">
        <v>233</v>
      </c>
      <c r="C45" s="167"/>
      <c r="D45" s="167"/>
      <c r="E45" s="167"/>
      <c r="F45" s="167"/>
      <c r="G45" s="167"/>
      <c r="H45" s="167"/>
      <c r="I45" s="167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AS81"/>
  <sheetViews>
    <sheetView topLeftCell="A8" workbookViewId="0">
      <selection activeCell="E18" sqref="E18"/>
    </sheetView>
  </sheetViews>
  <sheetFormatPr defaultColWidth="8.6328125" defaultRowHeight="12.5" x14ac:dyDescent="0.25"/>
  <cols>
    <col min="1" max="1" width="4.6328125" style="40" customWidth="1"/>
    <col min="2" max="2" width="19.453125" style="34" customWidth="1"/>
    <col min="3" max="3" width="14.1796875" style="41" customWidth="1"/>
    <col min="4" max="4" width="17.6328125" style="40" customWidth="1"/>
    <col min="5" max="5" width="14.1796875" style="34" bestFit="1" customWidth="1"/>
    <col min="6" max="6" width="19.453125" style="35" customWidth="1"/>
    <col min="7" max="7" width="19.453125" style="36" customWidth="1"/>
    <col min="8" max="8" width="13.1796875" style="37" customWidth="1"/>
    <col min="9" max="9" width="13.1796875" style="34" customWidth="1"/>
    <col min="10" max="10" width="17.453125" style="34" customWidth="1"/>
    <col min="11" max="11" width="16" style="35" customWidth="1"/>
    <col min="12" max="12" width="16.36328125" style="35" customWidth="1"/>
    <col min="13" max="13" width="13.1796875" style="35" customWidth="1"/>
    <col min="14" max="14" width="14" style="38" customWidth="1"/>
    <col min="15" max="15" width="12.81640625" style="38" customWidth="1"/>
    <col min="16" max="16" width="15.1796875" style="34" hidden="1" customWidth="1"/>
    <col min="17" max="17" width="19.36328125" style="34" hidden="1" customWidth="1"/>
    <col min="18" max="18" width="21.36328125" style="34" hidden="1" customWidth="1"/>
    <col min="19" max="19" width="23.1796875" style="34" customWidth="1"/>
    <col min="20" max="20" width="15.1796875" style="34" hidden="1" customWidth="1"/>
    <col min="21" max="21" width="16.36328125" style="34" customWidth="1"/>
    <col min="22" max="22" width="13.81640625" style="34" customWidth="1"/>
    <col min="23" max="23" width="27" style="34" hidden="1" customWidth="1"/>
    <col min="24" max="24" width="21.36328125" style="34" hidden="1" customWidth="1"/>
    <col min="25" max="25" width="55" style="34" hidden="1" customWidth="1"/>
    <col min="26" max="26" width="25" style="34" customWidth="1"/>
    <col min="27" max="27" width="26" style="34" hidden="1" customWidth="1"/>
    <col min="28" max="28" width="47.1796875" style="34" hidden="1" customWidth="1"/>
    <col min="29" max="29" width="16.1796875" style="34" hidden="1" customWidth="1"/>
    <col min="30" max="30" width="11.1796875" style="34" hidden="1" customWidth="1"/>
    <col min="31" max="31" width="16" style="34" hidden="1" customWidth="1"/>
    <col min="32" max="32" width="13.1796875" style="34" hidden="1" customWidth="1"/>
    <col min="33" max="33" width="21.453125" style="34" hidden="1" customWidth="1"/>
    <col min="34" max="34" width="20.1796875" style="34" hidden="1" customWidth="1"/>
    <col min="35" max="35" width="0" style="34" hidden="1" customWidth="1"/>
    <col min="36" max="36" width="35" style="34" customWidth="1"/>
    <col min="37" max="37" width="14.1796875" style="34" hidden="1" customWidth="1"/>
    <col min="38" max="38" width="14.81640625" style="39" hidden="1" customWidth="1"/>
    <col min="39" max="39" width="53" style="39" hidden="1" customWidth="1"/>
    <col min="40" max="40" width="35" style="39" hidden="1" customWidth="1"/>
    <col min="41" max="41" width="46" style="39" hidden="1" customWidth="1"/>
    <col min="42" max="42" width="51" style="39" hidden="1" customWidth="1"/>
    <col min="43" max="43" width="55" style="39" hidden="1" customWidth="1"/>
    <col min="44" max="44" width="12.1796875" style="39" hidden="1" customWidth="1"/>
    <col min="45" max="45" width="18" style="39" hidden="1" customWidth="1"/>
    <col min="46" max="16384" width="8.6328125" style="39"/>
  </cols>
  <sheetData>
    <row r="1" spans="1:37" ht="13" x14ac:dyDescent="0.3">
      <c r="A1" s="732" t="s">
        <v>164</v>
      </c>
      <c r="B1" s="732"/>
      <c r="C1" s="732"/>
      <c r="D1" s="732"/>
      <c r="E1" s="732"/>
      <c r="F1" s="732"/>
      <c r="G1" s="732"/>
      <c r="H1" s="732"/>
      <c r="I1" s="732"/>
    </row>
    <row r="2" spans="1:37" x14ac:dyDescent="0.25">
      <c r="B2" s="42" t="s">
        <v>154</v>
      </c>
      <c r="D2" s="341"/>
      <c r="E2" s="341"/>
      <c r="F2" s="341"/>
      <c r="G2" s="341"/>
      <c r="H2" s="341"/>
    </row>
    <row r="3" spans="1:37" s="50" customFormat="1" ht="37.5" x14ac:dyDescent="0.25">
      <c r="A3" s="43"/>
      <c r="B3" s="44" t="s">
        <v>155</v>
      </c>
      <c r="C3" s="45" t="s">
        <v>156</v>
      </c>
      <c r="D3" s="46" t="s">
        <v>157</v>
      </c>
      <c r="E3" s="46" t="s">
        <v>158</v>
      </c>
      <c r="F3" s="46" t="s">
        <v>159</v>
      </c>
      <c r="G3" s="47" t="s">
        <v>160</v>
      </c>
      <c r="H3" s="46" t="s">
        <v>284</v>
      </c>
      <c r="I3" s="46" t="s">
        <v>8</v>
      </c>
      <c r="J3" s="46" t="s">
        <v>112</v>
      </c>
      <c r="K3" s="48" t="s">
        <v>161</v>
      </c>
      <c r="L3" s="46" t="s">
        <v>162</v>
      </c>
      <c r="M3" s="49"/>
      <c r="N3" s="49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</row>
    <row r="4" spans="1:37" x14ac:dyDescent="0.25">
      <c r="B4" s="52"/>
      <c r="C4" s="57"/>
      <c r="D4" s="53"/>
      <c r="E4" s="53"/>
      <c r="F4" s="53"/>
      <c r="G4" s="54"/>
      <c r="H4" s="53"/>
      <c r="I4" s="53"/>
      <c r="J4" s="53"/>
      <c r="K4" s="55" t="e">
        <f>E4/H4</f>
        <v>#DIV/0!</v>
      </c>
      <c r="L4" s="56"/>
      <c r="M4" s="39"/>
      <c r="N4" s="39"/>
      <c r="O4" s="39"/>
      <c r="P4" s="39"/>
    </row>
    <row r="5" spans="1:37" x14ac:dyDescent="0.25">
      <c r="B5" s="52"/>
      <c r="C5" s="57"/>
      <c r="D5" s="53"/>
      <c r="E5" s="53"/>
      <c r="F5" s="53"/>
      <c r="G5" s="99"/>
      <c r="H5" s="53"/>
      <c r="I5" s="53"/>
      <c r="J5" s="58"/>
      <c r="K5" s="55" t="e">
        <f t="shared" ref="K5:K10" si="0">E5/H5</f>
        <v>#DIV/0!</v>
      </c>
      <c r="L5" s="56"/>
      <c r="M5" s="39"/>
      <c r="N5" s="39"/>
      <c r="O5" s="39"/>
      <c r="P5" s="39"/>
    </row>
    <row r="6" spans="1:37" x14ac:dyDescent="0.25">
      <c r="B6" s="52"/>
      <c r="C6" s="57"/>
      <c r="D6" s="53"/>
      <c r="E6" s="53"/>
      <c r="F6" s="53"/>
      <c r="G6" s="99"/>
      <c r="H6" s="53"/>
      <c r="I6" s="53"/>
      <c r="J6" s="58"/>
      <c r="K6" s="55" t="e">
        <f t="shared" si="0"/>
        <v>#DIV/0!</v>
      </c>
      <c r="L6" s="58"/>
      <c r="M6" s="39"/>
      <c r="N6" s="39"/>
      <c r="O6" s="39"/>
      <c r="P6" s="39"/>
    </row>
    <row r="7" spans="1:37" x14ac:dyDescent="0.25">
      <c r="B7" s="52"/>
      <c r="C7" s="57"/>
      <c r="D7" s="53"/>
      <c r="E7" s="53"/>
      <c r="F7" s="53"/>
      <c r="G7" s="99"/>
      <c r="H7" s="53"/>
      <c r="I7" s="53"/>
      <c r="J7" s="58"/>
      <c r="K7" s="55" t="e">
        <f t="shared" si="0"/>
        <v>#DIV/0!</v>
      </c>
      <c r="L7" s="58"/>
      <c r="M7" s="39"/>
      <c r="N7" s="39"/>
      <c r="O7" s="39"/>
      <c r="P7" s="39"/>
    </row>
    <row r="8" spans="1:37" x14ac:dyDescent="0.25">
      <c r="B8" s="52"/>
      <c r="C8" s="57"/>
      <c r="D8" s="53"/>
      <c r="E8" s="53"/>
      <c r="F8" s="53"/>
      <c r="G8" s="342"/>
      <c r="H8" s="53"/>
      <c r="I8" s="53"/>
      <c r="J8" s="58"/>
      <c r="K8" s="55" t="e">
        <f t="shared" si="0"/>
        <v>#DIV/0!</v>
      </c>
      <c r="L8" s="58"/>
      <c r="M8" s="39"/>
      <c r="N8" s="39"/>
      <c r="O8" s="39"/>
      <c r="P8" s="39"/>
    </row>
    <row r="9" spans="1:37" x14ac:dyDescent="0.25">
      <c r="B9" s="52"/>
      <c r="C9" s="57"/>
      <c r="D9" s="53"/>
      <c r="E9" s="53"/>
      <c r="F9" s="53"/>
      <c r="G9" s="342"/>
      <c r="H9" s="53"/>
      <c r="I9" s="53"/>
      <c r="J9" s="58"/>
      <c r="K9" s="55" t="e">
        <f t="shared" si="0"/>
        <v>#DIV/0!</v>
      </c>
      <c r="L9" s="58"/>
      <c r="M9" s="39"/>
      <c r="N9" s="39"/>
      <c r="O9" s="39"/>
      <c r="P9" s="39"/>
    </row>
    <row r="10" spans="1:37" x14ac:dyDescent="0.25">
      <c r="B10" s="52"/>
      <c r="C10" s="57"/>
      <c r="D10" s="53"/>
      <c r="E10" s="53"/>
      <c r="F10" s="53"/>
      <c r="G10" s="99"/>
      <c r="H10" s="53"/>
      <c r="I10" s="53"/>
      <c r="J10" s="58"/>
      <c r="K10" s="55" t="e">
        <f t="shared" si="0"/>
        <v>#DIV/0!</v>
      </c>
      <c r="L10" s="58"/>
      <c r="M10" s="39"/>
      <c r="N10" s="39"/>
      <c r="O10" s="39"/>
      <c r="P10" s="39"/>
    </row>
    <row r="11" spans="1:37" x14ac:dyDescent="0.25">
      <c r="B11" s="52"/>
      <c r="C11" s="57"/>
      <c r="D11" s="53"/>
      <c r="E11" s="60"/>
      <c r="F11" s="53"/>
      <c r="G11" s="59"/>
      <c r="H11" s="61"/>
      <c r="I11" s="52"/>
      <c r="J11" s="62"/>
      <c r="K11" s="101" t="e">
        <f>AVERAGE(K4:K10)</f>
        <v>#DIV/0!</v>
      </c>
      <c r="L11" s="62"/>
      <c r="M11" s="39"/>
      <c r="N11" s="39"/>
      <c r="O11" s="39"/>
      <c r="P11" s="39"/>
    </row>
    <row r="12" spans="1:37" x14ac:dyDescent="0.25">
      <c r="F12" s="34"/>
      <c r="G12" s="40"/>
      <c r="H12" s="35"/>
      <c r="I12" s="64"/>
      <c r="J12" s="37"/>
      <c r="K12" s="34"/>
      <c r="L12" s="65"/>
      <c r="M12" s="34"/>
      <c r="N12" s="66"/>
      <c r="O12" s="67"/>
    </row>
    <row r="13" spans="1:37" x14ac:dyDescent="0.25">
      <c r="B13" s="42" t="s">
        <v>177</v>
      </c>
      <c r="M13" s="34"/>
      <c r="N13" s="66"/>
      <c r="O13" s="67"/>
    </row>
    <row r="14" spans="1:37" ht="37.5" x14ac:dyDescent="0.25">
      <c r="B14" s="44" t="s">
        <v>155</v>
      </c>
      <c r="C14" s="45" t="s">
        <v>163</v>
      </c>
      <c r="D14" s="46" t="s">
        <v>157</v>
      </c>
      <c r="E14" s="46" t="s">
        <v>158</v>
      </c>
      <c r="F14" s="46" t="s">
        <v>159</v>
      </c>
      <c r="G14" s="47" t="s">
        <v>160</v>
      </c>
      <c r="H14" s="46" t="s">
        <v>289</v>
      </c>
      <c r="I14" s="46" t="s">
        <v>8</v>
      </c>
      <c r="J14" s="46" t="s">
        <v>112</v>
      </c>
      <c r="K14" s="48" t="s">
        <v>161</v>
      </c>
      <c r="L14" s="46" t="s">
        <v>162</v>
      </c>
      <c r="M14" s="34"/>
      <c r="N14" s="66"/>
      <c r="O14" s="67"/>
    </row>
    <row r="15" spans="1:37" x14ac:dyDescent="0.25">
      <c r="B15" s="52" t="s">
        <v>285</v>
      </c>
      <c r="C15" s="68"/>
      <c r="D15" s="52"/>
      <c r="E15" s="52"/>
      <c r="F15" s="52"/>
      <c r="G15" s="69"/>
      <c r="H15" s="52"/>
      <c r="I15" s="52"/>
      <c r="J15" s="62"/>
      <c r="K15" s="63"/>
      <c r="L15" s="62"/>
      <c r="M15" s="34"/>
      <c r="N15" s="66"/>
      <c r="O15" s="67"/>
    </row>
    <row r="16" spans="1:37" x14ac:dyDescent="0.25">
      <c r="F16" s="34"/>
      <c r="G16" s="40"/>
      <c r="H16" s="35"/>
      <c r="I16" s="64"/>
      <c r="J16" s="37"/>
      <c r="K16" s="34"/>
      <c r="L16" s="65"/>
      <c r="M16" s="34"/>
      <c r="N16" s="66"/>
      <c r="O16" s="67"/>
    </row>
    <row r="17" spans="1:37" x14ac:dyDescent="0.25">
      <c r="B17" s="42" t="s">
        <v>175</v>
      </c>
      <c r="F17" s="34"/>
      <c r="G17" s="40"/>
      <c r="H17" s="35"/>
      <c r="I17" s="64"/>
      <c r="J17" s="37"/>
      <c r="K17" s="34"/>
      <c r="L17" s="65"/>
      <c r="M17" s="34"/>
      <c r="N17" s="66"/>
      <c r="O17" s="67"/>
    </row>
    <row r="18" spans="1:37" s="50" customFormat="1" ht="25" x14ac:dyDescent="0.25">
      <c r="A18" s="43"/>
      <c r="B18" s="44" t="s">
        <v>164</v>
      </c>
      <c r="C18" s="45"/>
      <c r="D18" s="70" t="s">
        <v>165</v>
      </c>
      <c r="E18" s="44" t="s">
        <v>166</v>
      </c>
      <c r="F18" s="44" t="s">
        <v>110</v>
      </c>
      <c r="G18" s="47" t="s">
        <v>167</v>
      </c>
      <c r="H18" s="71" t="s">
        <v>112</v>
      </c>
      <c r="I18" s="72" t="s">
        <v>168</v>
      </c>
      <c r="J18" s="73" t="s">
        <v>169</v>
      </c>
      <c r="K18" s="74" t="s">
        <v>170</v>
      </c>
      <c r="L18" s="44" t="s">
        <v>171</v>
      </c>
      <c r="M18" s="51"/>
      <c r="N18" s="75"/>
      <c r="O18" s="76"/>
      <c r="P18" s="51"/>
      <c r="Q18" s="51"/>
      <c r="R18" s="51"/>
      <c r="S18" s="51"/>
      <c r="T18" s="51"/>
      <c r="U18" s="51"/>
      <c r="V18" s="51"/>
      <c r="W18" s="77"/>
      <c r="X18" s="44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</row>
    <row r="19" spans="1:37" x14ac:dyDescent="0.25">
      <c r="B19" s="52" t="s">
        <v>286</v>
      </c>
      <c r="C19" s="68"/>
      <c r="D19" s="69"/>
      <c r="E19" s="52"/>
      <c r="F19" s="52"/>
      <c r="G19" s="80"/>
      <c r="H19" s="78"/>
      <c r="I19" s="81"/>
      <c r="J19" s="82"/>
      <c r="K19" s="83"/>
      <c r="L19" s="52"/>
      <c r="M19" s="34"/>
      <c r="N19" s="66"/>
      <c r="O19" s="67"/>
      <c r="W19" s="79"/>
      <c r="X19" s="52"/>
    </row>
    <row r="20" spans="1:37" x14ac:dyDescent="0.25">
      <c r="F20" s="34"/>
      <c r="G20" s="40"/>
      <c r="H20" s="35"/>
      <c r="I20" s="64"/>
      <c r="J20" s="37"/>
      <c r="K20" s="34"/>
      <c r="L20" s="65"/>
      <c r="M20" s="34"/>
      <c r="N20" s="66"/>
      <c r="O20" s="67"/>
    </row>
    <row r="21" spans="1:37" x14ac:dyDescent="0.25">
      <c r="B21" s="100" t="s">
        <v>164</v>
      </c>
      <c r="C21" s="68"/>
      <c r="D21" s="52"/>
      <c r="E21" s="53"/>
      <c r="F21" s="53"/>
      <c r="G21" s="69"/>
      <c r="H21" s="62"/>
      <c r="I21" s="52"/>
      <c r="J21" s="62"/>
      <c r="K21" s="63"/>
      <c r="L21" s="62"/>
      <c r="M21" s="39"/>
      <c r="N21" s="39"/>
      <c r="O21" s="67"/>
    </row>
    <row r="22" spans="1:37" x14ac:dyDescent="0.25">
      <c r="B22" s="84" t="s">
        <v>172</v>
      </c>
      <c r="C22" s="85"/>
      <c r="D22" s="86"/>
      <c r="E22" s="84"/>
      <c r="F22" s="84"/>
      <c r="G22" s="86"/>
      <c r="H22" s="87"/>
      <c r="I22" s="88"/>
      <c r="J22" s="89"/>
      <c r="K22" s="90" t="e">
        <f>K11</f>
        <v>#DIV/0!</v>
      </c>
      <c r="L22" s="65"/>
      <c r="M22" s="34"/>
      <c r="N22" s="66"/>
      <c r="O22" s="67"/>
    </row>
    <row r="23" spans="1:37" ht="50" x14ac:dyDescent="0.25">
      <c r="B23" s="52" t="s">
        <v>173</v>
      </c>
      <c r="C23" s="68"/>
      <c r="D23" s="69"/>
      <c r="E23" s="52"/>
      <c r="F23" s="52"/>
      <c r="G23" s="69"/>
      <c r="H23" s="78"/>
      <c r="I23" s="81"/>
      <c r="J23" s="82"/>
      <c r="K23" s="343">
        <v>0.5</v>
      </c>
      <c r="L23" s="688" t="s">
        <v>288</v>
      </c>
      <c r="M23" s="34"/>
      <c r="N23" s="66"/>
      <c r="O23" s="67"/>
      <c r="W23" s="79"/>
      <c r="X23" s="52"/>
    </row>
    <row r="24" spans="1:37" x14ac:dyDescent="0.25">
      <c r="B24" s="52" t="s">
        <v>113</v>
      </c>
      <c r="C24" s="68"/>
      <c r="D24" s="69"/>
      <c r="E24" s="52"/>
      <c r="F24" s="52"/>
      <c r="G24" s="69"/>
      <c r="H24" s="78"/>
      <c r="I24" s="81"/>
      <c r="J24" s="82"/>
      <c r="K24" s="337" t="e">
        <f>K22*K23</f>
        <v>#DIV/0!</v>
      </c>
      <c r="L24" s="52"/>
      <c r="M24" s="34"/>
      <c r="N24" s="66"/>
      <c r="O24" s="67"/>
      <c r="W24" s="79"/>
      <c r="X24" s="52"/>
    </row>
    <row r="25" spans="1:37" x14ac:dyDescent="0.25">
      <c r="B25" s="52" t="s">
        <v>174</v>
      </c>
      <c r="C25" s="92"/>
      <c r="D25" s="93"/>
      <c r="E25" s="91"/>
      <c r="F25" s="91"/>
      <c r="G25" s="93"/>
      <c r="H25" s="94"/>
      <c r="I25" s="95"/>
      <c r="J25" s="96"/>
      <c r="K25" s="338" t="e">
        <f>K24*#REF!</f>
        <v>#DIV/0!</v>
      </c>
      <c r="L25" s="97"/>
      <c r="M25" s="34"/>
      <c r="N25" s="66"/>
      <c r="O25" s="67"/>
    </row>
    <row r="26" spans="1:37" x14ac:dyDescent="0.25">
      <c r="F26" s="34"/>
      <c r="G26" s="40"/>
      <c r="H26" s="35"/>
      <c r="I26" s="38"/>
      <c r="J26" s="37"/>
      <c r="K26" s="34"/>
      <c r="L26" s="34"/>
      <c r="M26" s="34"/>
      <c r="N26" s="35"/>
    </row>
    <row r="30" spans="1:37" x14ac:dyDescent="0.25">
      <c r="B30" s="39"/>
      <c r="D30" s="39"/>
      <c r="E30" s="39"/>
    </row>
    <row r="31" spans="1:37" x14ac:dyDescent="0.25">
      <c r="B31" s="39"/>
      <c r="D31" s="39"/>
      <c r="E31" s="39"/>
    </row>
    <row r="32" spans="1:37" x14ac:dyDescent="0.25">
      <c r="B32" s="39"/>
      <c r="D32" s="39"/>
      <c r="E32" s="39"/>
    </row>
    <row r="33" spans="2:5" x14ac:dyDescent="0.25">
      <c r="B33" s="39"/>
      <c r="D33" s="39"/>
      <c r="E33" s="39"/>
    </row>
    <row r="34" spans="2:5" x14ac:dyDescent="0.25">
      <c r="B34" s="39"/>
      <c r="D34" s="39"/>
      <c r="E34" s="39"/>
    </row>
    <row r="35" spans="2:5" x14ac:dyDescent="0.25">
      <c r="B35" s="39"/>
      <c r="D35" s="39"/>
      <c r="E35" s="39"/>
    </row>
    <row r="36" spans="2:5" x14ac:dyDescent="0.25">
      <c r="B36" s="39"/>
      <c r="D36" s="39"/>
      <c r="E36" s="39"/>
    </row>
    <row r="37" spans="2:5" x14ac:dyDescent="0.25">
      <c r="B37" s="39"/>
      <c r="D37" s="39"/>
      <c r="E37" s="39"/>
    </row>
    <row r="38" spans="2:5" x14ac:dyDescent="0.25">
      <c r="B38" s="39"/>
      <c r="D38" s="39"/>
      <c r="E38" s="39"/>
    </row>
    <row r="39" spans="2:5" x14ac:dyDescent="0.25">
      <c r="B39" s="39"/>
      <c r="D39" s="39"/>
      <c r="E39" s="39"/>
    </row>
    <row r="40" spans="2:5" x14ac:dyDescent="0.25">
      <c r="B40" s="39"/>
      <c r="D40" s="39"/>
      <c r="E40" s="39"/>
    </row>
    <row r="41" spans="2:5" x14ac:dyDescent="0.25">
      <c r="B41" s="39"/>
      <c r="D41" s="39"/>
      <c r="E41" s="39"/>
    </row>
    <row r="42" spans="2:5" x14ac:dyDescent="0.25">
      <c r="B42" s="39"/>
      <c r="D42" s="39"/>
      <c r="E42" s="39"/>
    </row>
    <row r="43" spans="2:5" x14ac:dyDescent="0.25">
      <c r="B43" s="39"/>
      <c r="D43" s="39"/>
      <c r="E43" s="39"/>
    </row>
    <row r="44" spans="2:5" x14ac:dyDescent="0.25">
      <c r="B44" s="39"/>
      <c r="D44" s="39"/>
      <c r="E44" s="39"/>
    </row>
    <row r="45" spans="2:5" x14ac:dyDescent="0.25">
      <c r="B45" s="39"/>
      <c r="D45" s="39"/>
      <c r="E45" s="39"/>
    </row>
    <row r="46" spans="2:5" x14ac:dyDescent="0.25">
      <c r="B46" s="39"/>
      <c r="D46" s="39"/>
      <c r="E46" s="39"/>
    </row>
    <row r="47" spans="2:5" x14ac:dyDescent="0.25">
      <c r="B47" s="39"/>
      <c r="D47" s="39"/>
      <c r="E47" s="39"/>
    </row>
    <row r="48" spans="2:5" x14ac:dyDescent="0.25">
      <c r="B48" s="39"/>
      <c r="D48" s="39"/>
      <c r="E48" s="39"/>
    </row>
    <row r="49" spans="2:5" x14ac:dyDescent="0.25">
      <c r="B49" s="39"/>
      <c r="D49" s="39"/>
      <c r="E49" s="39"/>
    </row>
    <row r="50" spans="2:5" x14ac:dyDescent="0.25">
      <c r="B50" s="39"/>
      <c r="D50" s="39"/>
      <c r="E50" s="39"/>
    </row>
    <row r="51" spans="2:5" x14ac:dyDescent="0.25">
      <c r="B51" s="39"/>
      <c r="D51" s="39"/>
      <c r="E51" s="39"/>
    </row>
    <row r="52" spans="2:5" x14ac:dyDescent="0.25">
      <c r="B52" s="39"/>
      <c r="D52" s="39"/>
      <c r="E52" s="39"/>
    </row>
    <row r="53" spans="2:5" x14ac:dyDescent="0.25">
      <c r="B53" s="39"/>
      <c r="D53" s="39"/>
      <c r="E53" s="39"/>
    </row>
    <row r="54" spans="2:5" x14ac:dyDescent="0.25">
      <c r="B54" s="39"/>
      <c r="D54" s="39"/>
      <c r="E54" s="39"/>
    </row>
    <row r="55" spans="2:5" x14ac:dyDescent="0.25">
      <c r="B55" s="39"/>
      <c r="D55" s="39"/>
      <c r="E55" s="39"/>
    </row>
    <row r="56" spans="2:5" x14ac:dyDescent="0.25">
      <c r="B56" s="39"/>
      <c r="D56" s="39"/>
      <c r="E56" s="39"/>
    </row>
    <row r="57" spans="2:5" x14ac:dyDescent="0.25">
      <c r="B57" s="39"/>
      <c r="D57" s="39"/>
      <c r="E57" s="39"/>
    </row>
    <row r="58" spans="2:5" x14ac:dyDescent="0.25">
      <c r="B58" s="39"/>
      <c r="D58" s="39"/>
      <c r="E58" s="39"/>
    </row>
    <row r="59" spans="2:5" x14ac:dyDescent="0.25">
      <c r="B59" s="39"/>
      <c r="D59" s="39"/>
      <c r="E59" s="39"/>
    </row>
    <row r="60" spans="2:5" x14ac:dyDescent="0.25">
      <c r="B60" s="39"/>
      <c r="D60" s="39"/>
      <c r="E60" s="39"/>
    </row>
    <row r="61" spans="2:5" x14ac:dyDescent="0.25">
      <c r="B61" s="39"/>
      <c r="D61" s="39"/>
      <c r="E61" s="39"/>
    </row>
    <row r="62" spans="2:5" x14ac:dyDescent="0.25">
      <c r="B62" s="39"/>
      <c r="D62" s="39"/>
      <c r="E62" s="39"/>
    </row>
    <row r="63" spans="2:5" x14ac:dyDescent="0.25">
      <c r="B63" s="39"/>
      <c r="D63" s="39"/>
      <c r="E63" s="39"/>
    </row>
    <row r="64" spans="2:5" x14ac:dyDescent="0.25">
      <c r="B64" s="39"/>
      <c r="D64" s="39"/>
      <c r="E64" s="39"/>
    </row>
    <row r="65" spans="2:5" x14ac:dyDescent="0.25">
      <c r="B65" s="39"/>
      <c r="D65" s="39"/>
      <c r="E65" s="39"/>
    </row>
    <row r="66" spans="2:5" x14ac:dyDescent="0.25">
      <c r="B66" s="39"/>
      <c r="D66" s="39"/>
      <c r="E66" s="39"/>
    </row>
    <row r="67" spans="2:5" x14ac:dyDescent="0.25">
      <c r="B67" s="39"/>
      <c r="D67" s="39"/>
      <c r="E67" s="39"/>
    </row>
    <row r="68" spans="2:5" x14ac:dyDescent="0.25">
      <c r="B68" s="39"/>
      <c r="D68" s="39"/>
      <c r="E68" s="39"/>
    </row>
    <row r="69" spans="2:5" x14ac:dyDescent="0.25">
      <c r="B69" s="39"/>
      <c r="D69" s="39"/>
      <c r="E69" s="39"/>
    </row>
    <row r="70" spans="2:5" x14ac:dyDescent="0.25">
      <c r="B70" s="39"/>
      <c r="D70" s="39"/>
      <c r="E70" s="39"/>
    </row>
    <row r="71" spans="2:5" x14ac:dyDescent="0.25">
      <c r="B71" s="39"/>
      <c r="D71" s="39"/>
      <c r="E71" s="39"/>
    </row>
    <row r="72" spans="2:5" x14ac:dyDescent="0.25">
      <c r="B72" s="39"/>
      <c r="D72" s="39"/>
      <c r="E72" s="39"/>
    </row>
    <row r="73" spans="2:5" x14ac:dyDescent="0.25">
      <c r="B73" s="39"/>
      <c r="D73" s="39"/>
      <c r="E73" s="39"/>
    </row>
    <row r="74" spans="2:5" x14ac:dyDescent="0.25">
      <c r="B74" s="39"/>
      <c r="D74" s="39"/>
      <c r="E74" s="39"/>
    </row>
    <row r="75" spans="2:5" x14ac:dyDescent="0.25">
      <c r="B75" s="39"/>
      <c r="D75" s="39"/>
      <c r="E75" s="39"/>
    </row>
    <row r="76" spans="2:5" x14ac:dyDescent="0.25">
      <c r="B76" s="39"/>
      <c r="D76" s="39"/>
      <c r="E76" s="39"/>
    </row>
    <row r="77" spans="2:5" x14ac:dyDescent="0.25">
      <c r="B77" s="39"/>
      <c r="D77" s="39"/>
      <c r="E77" s="39"/>
    </row>
    <row r="78" spans="2:5" x14ac:dyDescent="0.25">
      <c r="B78" s="98"/>
      <c r="D78" s="98"/>
      <c r="E78" s="98"/>
    </row>
    <row r="79" spans="2:5" x14ac:dyDescent="0.25">
      <c r="B79" s="98"/>
      <c r="D79" s="98"/>
      <c r="E79" s="98"/>
    </row>
    <row r="80" spans="2:5" x14ac:dyDescent="0.25">
      <c r="B80" s="98"/>
      <c r="D80" s="98"/>
      <c r="E80" s="98"/>
    </row>
    <row r="81" spans="2:5" x14ac:dyDescent="0.25">
      <c r="B81" s="98"/>
      <c r="D81" s="98"/>
      <c r="E81" s="98"/>
    </row>
  </sheetData>
  <mergeCells count="1">
    <mergeCell ref="A1:I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GU83"/>
  <sheetViews>
    <sheetView topLeftCell="A23" zoomScale="110" zoomScaleNormal="110" workbookViewId="0">
      <selection activeCell="S46" sqref="S46"/>
    </sheetView>
  </sheetViews>
  <sheetFormatPr defaultColWidth="8.81640625" defaultRowHeight="12.5" x14ac:dyDescent="0.25"/>
  <cols>
    <col min="1" max="1" width="3" style="22" customWidth="1"/>
    <col min="2" max="2" width="27" style="23" customWidth="1"/>
    <col min="3" max="3" width="12.81640625" style="23" hidden="1" customWidth="1"/>
    <col min="4" max="4" width="13.81640625" style="23" bestFit="1" customWidth="1"/>
    <col min="5" max="5" width="13.453125" style="23" customWidth="1"/>
    <col min="6" max="6" width="13.81640625" style="23" bestFit="1" customWidth="1"/>
    <col min="7" max="7" width="13.81640625" style="23" customWidth="1"/>
    <col min="8" max="8" width="14.81640625" style="23" customWidth="1"/>
    <col min="9" max="10" width="15.1796875" style="23" bestFit="1" customWidth="1"/>
    <col min="11" max="11" width="2.36328125" style="240" customWidth="1"/>
    <col min="12" max="14" width="12" style="23" hidden="1" customWidth="1"/>
    <col min="15" max="16" width="12" style="22" hidden="1" customWidth="1"/>
    <col min="17" max="17" width="0" style="22" hidden="1" customWidth="1"/>
    <col min="18" max="18" width="13.1796875" style="22" hidden="1" customWidth="1"/>
    <col min="19" max="203" width="8.81640625" style="138"/>
    <col min="204" max="16384" width="8.81640625" style="22"/>
  </cols>
  <sheetData>
    <row r="1" spans="1:19" ht="13" x14ac:dyDescent="0.3">
      <c r="A1" s="733" t="s">
        <v>164</v>
      </c>
      <c r="B1" s="733"/>
      <c r="C1" s="733"/>
      <c r="D1" s="733"/>
      <c r="E1" s="733"/>
      <c r="F1" s="733"/>
      <c r="G1" s="733"/>
      <c r="H1" s="733"/>
      <c r="I1" s="733"/>
      <c r="J1" s="733"/>
    </row>
    <row r="2" spans="1:19" s="138" customFormat="1" x14ac:dyDescent="0.25">
      <c r="A2" s="32"/>
      <c r="B2" s="240"/>
      <c r="C2" s="240"/>
      <c r="D2" s="240"/>
      <c r="E2" s="304"/>
      <c r="F2" s="240"/>
      <c r="G2" s="240"/>
      <c r="H2" s="240"/>
      <c r="I2" s="240"/>
      <c r="J2" s="240"/>
      <c r="K2" s="240"/>
      <c r="L2" s="240"/>
      <c r="M2" s="240"/>
      <c r="N2" s="240"/>
    </row>
    <row r="3" spans="1:19" s="138" customFormat="1" x14ac:dyDescent="0.25">
      <c r="B3" s="298" t="s">
        <v>114</v>
      </c>
      <c r="C3" s="299"/>
      <c r="D3" s="299"/>
      <c r="E3" s="241"/>
      <c r="F3" s="241"/>
      <c r="G3" s="241"/>
      <c r="H3" s="241"/>
      <c r="I3" s="241"/>
      <c r="J3" s="241"/>
      <c r="K3" s="241"/>
      <c r="L3" s="243"/>
      <c r="M3" s="299"/>
      <c r="N3" s="299"/>
      <c r="O3" s="305"/>
    </row>
    <row r="4" spans="1:19" s="138" customFormat="1" x14ac:dyDescent="0.25">
      <c r="B4" s="300" t="s">
        <v>115</v>
      </c>
      <c r="C4" s="306"/>
      <c r="D4" s="301"/>
      <c r="E4" s="302"/>
      <c r="F4" s="302"/>
      <c r="G4" s="302"/>
      <c r="H4" s="242"/>
      <c r="I4" s="242"/>
      <c r="J4" s="242"/>
      <c r="K4" s="242"/>
      <c r="L4" s="242"/>
      <c r="M4" s="300"/>
      <c r="N4" s="300"/>
      <c r="O4" s="245"/>
    </row>
    <row r="5" spans="1:19" s="138" customFormat="1" ht="25.5" thickBot="1" x14ac:dyDescent="0.3">
      <c r="B5" s="298" t="s">
        <v>116</v>
      </c>
      <c r="C5" s="299"/>
      <c r="D5" s="299"/>
      <c r="E5" s="243"/>
      <c r="F5" s="243"/>
      <c r="G5" s="243"/>
      <c r="H5" s="243"/>
      <c r="I5" s="243"/>
      <c r="J5" s="303" t="s">
        <v>117</v>
      </c>
      <c r="K5" s="243"/>
      <c r="L5" s="243" t="s">
        <v>118</v>
      </c>
      <c r="M5" s="299"/>
      <c r="N5" s="299"/>
      <c r="O5" s="305"/>
    </row>
    <row r="6" spans="1:19" x14ac:dyDescent="0.25">
      <c r="B6" s="686"/>
      <c r="C6" s="687"/>
      <c r="D6" s="687"/>
      <c r="E6" s="362" t="s">
        <v>277</v>
      </c>
      <c r="F6" s="363" t="s">
        <v>317</v>
      </c>
      <c r="G6" s="363" t="s">
        <v>318</v>
      </c>
      <c r="H6" s="363" t="s">
        <v>319</v>
      </c>
      <c r="I6" s="363" t="s">
        <v>320</v>
      </c>
      <c r="J6" s="364" t="s">
        <v>321</v>
      </c>
      <c r="K6" s="138"/>
      <c r="L6" s="33">
        <v>44286</v>
      </c>
      <c r="M6" s="33">
        <v>44651</v>
      </c>
      <c r="N6" s="33">
        <v>45016</v>
      </c>
      <c r="O6" s="33">
        <v>45382</v>
      </c>
      <c r="P6" s="33">
        <v>45747</v>
      </c>
    </row>
    <row r="7" spans="1:19" s="138" customFormat="1" x14ac:dyDescent="0.25">
      <c r="B7" s="245"/>
      <c r="C7" s="245"/>
      <c r="D7" s="245"/>
      <c r="E7" s="245"/>
      <c r="F7" s="245"/>
      <c r="G7" s="245"/>
      <c r="H7" s="245"/>
      <c r="I7" s="245"/>
      <c r="J7" s="245"/>
      <c r="L7" s="245"/>
      <c r="M7" s="245"/>
      <c r="N7" s="245"/>
      <c r="O7" s="245"/>
      <c r="P7" s="245"/>
    </row>
    <row r="8" spans="1:19" s="138" customFormat="1" x14ac:dyDescent="0.25">
      <c r="B8" s="246" t="s">
        <v>110</v>
      </c>
      <c r="C8" s="247"/>
      <c r="D8" s="247"/>
      <c r="E8" s="247">
        <f>'Profit&amp;Loss'!B6</f>
        <v>90.5</v>
      </c>
      <c r="F8" s="247">
        <f>'Profit&amp;Loss'!C6</f>
        <v>110.10000000000001</v>
      </c>
      <c r="G8" s="247">
        <f>'Profit&amp;Loss'!D6</f>
        <v>147.9</v>
      </c>
      <c r="H8" s="247">
        <f>'Profit&amp;Loss'!E6</f>
        <v>195.11500000000001</v>
      </c>
      <c r="I8" s="247">
        <f>'Profit&amp;Loss'!F6</f>
        <v>227.92149999999998</v>
      </c>
      <c r="J8" s="247">
        <f>'Profit&amp;Loss'!G6</f>
        <v>267.13765000000001</v>
      </c>
      <c r="L8" s="247">
        <v>133364125</v>
      </c>
      <c r="M8" s="247">
        <v>240868250</v>
      </c>
      <c r="N8" s="247">
        <v>390704250</v>
      </c>
      <c r="O8" s="247">
        <v>779649800</v>
      </c>
      <c r="P8" s="247">
        <v>1173523200</v>
      </c>
    </row>
    <row r="9" spans="1:19" s="138" customFormat="1" x14ac:dyDescent="0.25">
      <c r="B9" s="248" t="s">
        <v>119</v>
      </c>
      <c r="C9" s="249"/>
      <c r="D9" s="250"/>
      <c r="E9" s="250" t="e">
        <f t="shared" ref="E9" si="0">E8/D8-1</f>
        <v>#DIV/0!</v>
      </c>
      <c r="F9" s="250">
        <f>F8/E8-1</f>
        <v>0.21657458563535914</v>
      </c>
      <c r="G9" s="250">
        <f t="shared" ref="G9:J9" si="1">G8/F8-1</f>
        <v>0.34332425068119887</v>
      </c>
      <c r="H9" s="250">
        <f t="shared" si="1"/>
        <v>0.31923597025016903</v>
      </c>
      <c r="I9" s="250">
        <f t="shared" si="1"/>
        <v>0.16813930246265008</v>
      </c>
      <c r="J9" s="250">
        <f t="shared" si="1"/>
        <v>0.17205989781569553</v>
      </c>
      <c r="L9" s="250">
        <v>0.65603960295716601</v>
      </c>
      <c r="M9" s="250">
        <v>0.80609477998674683</v>
      </c>
      <c r="N9" s="250">
        <v>0.62206621254565508</v>
      </c>
      <c r="O9" s="250">
        <v>0.99549864123566612</v>
      </c>
      <c r="P9" s="250">
        <v>0.50519271601172733</v>
      </c>
    </row>
    <row r="10" spans="1:19" s="138" customFormat="1" x14ac:dyDescent="0.25">
      <c r="B10" s="246"/>
      <c r="C10" s="251"/>
      <c r="D10" s="251"/>
      <c r="E10" s="251"/>
      <c r="F10" s="251"/>
      <c r="G10" s="251"/>
      <c r="H10" s="251"/>
      <c r="I10" s="251"/>
      <c r="J10" s="251"/>
      <c r="L10" s="251"/>
      <c r="M10" s="251"/>
      <c r="N10" s="251"/>
      <c r="O10" s="251"/>
      <c r="P10" s="251"/>
    </row>
    <row r="11" spans="1:19" s="138" customFormat="1" x14ac:dyDescent="0.25">
      <c r="B11" s="246" t="s">
        <v>120</v>
      </c>
      <c r="C11" s="252"/>
      <c r="D11" s="252"/>
      <c r="E11" s="252">
        <f>'Profit&amp;Loss'!B40</f>
        <v>66.97</v>
      </c>
      <c r="F11" s="252">
        <f>'Profit&amp;Loss'!C40</f>
        <v>81.270315000000011</v>
      </c>
      <c r="G11" s="252">
        <f>'Profit&amp;Loss'!D40</f>
        <v>109.17238499999999</v>
      </c>
      <c r="H11" s="252">
        <f>'Profit&amp;Loss'!E40</f>
        <v>144.02413725000002</v>
      </c>
      <c r="I11" s="252">
        <f>'Profit&amp;Loss'!F40</f>
        <v>168.24025522499997</v>
      </c>
      <c r="J11" s="252">
        <f>'Profit&amp;Loss'!G40</f>
        <v>197.18765634750002</v>
      </c>
      <c r="L11" s="252">
        <v>3678677.7434737762</v>
      </c>
      <c r="M11" s="252">
        <v>5604631.1460842658</v>
      </c>
      <c r="N11" s="252">
        <v>7328572.048694755</v>
      </c>
      <c r="O11" s="252">
        <v>88596760.980000004</v>
      </c>
      <c r="P11" s="252">
        <v>217911351.44999999</v>
      </c>
    </row>
    <row r="12" spans="1:19" s="138" customFormat="1" x14ac:dyDescent="0.25">
      <c r="B12" s="248" t="s">
        <v>121</v>
      </c>
      <c r="C12" s="250"/>
      <c r="D12" s="250"/>
      <c r="E12" s="250">
        <f t="shared" ref="E12" si="2">E11/E8</f>
        <v>0.74</v>
      </c>
      <c r="F12" s="250">
        <f>F11/F8</f>
        <v>0.73815000000000008</v>
      </c>
      <c r="G12" s="250">
        <f t="shared" ref="G12:J12" si="3">G11/G8</f>
        <v>0.73814999999999986</v>
      </c>
      <c r="H12" s="250">
        <f t="shared" si="3"/>
        <v>0.73815000000000008</v>
      </c>
      <c r="I12" s="250">
        <f t="shared" si="3"/>
        <v>0.73814999999999997</v>
      </c>
      <c r="J12" s="250">
        <f t="shared" si="3"/>
        <v>0.73815000000000008</v>
      </c>
      <c r="L12" s="250">
        <v>2.7583712962341082E-2</v>
      </c>
      <c r="M12" s="250">
        <v>2.3268451305160667E-2</v>
      </c>
      <c r="N12" s="250">
        <v>1.8757338955731236E-2</v>
      </c>
      <c r="O12" s="250">
        <v>0.11363661092454587</v>
      </c>
      <c r="P12" s="250">
        <v>0.18568985380945174</v>
      </c>
    </row>
    <row r="13" spans="1:19" s="138" customFormat="1" x14ac:dyDescent="0.25">
      <c r="B13" s="246"/>
      <c r="C13" s="253"/>
      <c r="D13" s="253"/>
      <c r="E13" s="253"/>
      <c r="F13" s="253"/>
      <c r="G13" s="253"/>
      <c r="H13" s="253"/>
      <c r="I13" s="253"/>
      <c r="J13" s="253"/>
      <c r="L13" s="253"/>
      <c r="M13" s="253"/>
      <c r="N13" s="253"/>
      <c r="O13" s="253"/>
      <c r="P13" s="253"/>
    </row>
    <row r="14" spans="1:19" s="138" customFormat="1" x14ac:dyDescent="0.25">
      <c r="B14" s="245" t="s">
        <v>122</v>
      </c>
      <c r="C14" s="254"/>
      <c r="D14" s="254"/>
      <c r="E14" s="254">
        <f>'Profit&amp;Loss'!B36*(1-$D$40)</f>
        <v>0</v>
      </c>
      <c r="F14" s="254">
        <f>'Profit&amp;Loss'!C36*(1-$D$40)</f>
        <v>0</v>
      </c>
      <c r="G14" s="254">
        <f>'Profit&amp;Loss'!D36*(1-$D$40)</f>
        <v>0</v>
      </c>
      <c r="H14" s="254">
        <f>'Profit&amp;Loss'!E36*(1-$D$40)</f>
        <v>0</v>
      </c>
      <c r="I14" s="254">
        <f>'Profit&amp;Loss'!F36*(1-$D$40)</f>
        <v>0</v>
      </c>
      <c r="J14" s="254">
        <f>'Profit&amp;Loss'!G36*(1-$D$40)</f>
        <v>0</v>
      </c>
      <c r="L14" s="254">
        <v>2469949.7600904545</v>
      </c>
      <c r="M14" s="254">
        <v>2651969.856054273</v>
      </c>
      <c r="N14" s="254">
        <v>5524989.9520180915</v>
      </c>
      <c r="O14" s="254">
        <v>9828000</v>
      </c>
      <c r="P14" s="254">
        <v>11700000</v>
      </c>
      <c r="S14" s="239"/>
    </row>
    <row r="15" spans="1:19" s="238" customFormat="1" x14ac:dyDescent="0.25">
      <c r="B15" s="255" t="s">
        <v>123</v>
      </c>
      <c r="C15" s="256">
        <f>IFERROR(C11+C14,"n.a.")</f>
        <v>0</v>
      </c>
      <c r="D15" s="256">
        <f t="shared" ref="D15:J15" si="4">IFERROR(D11+D14,"n.a.")</f>
        <v>0</v>
      </c>
      <c r="E15" s="256">
        <f t="shared" si="4"/>
        <v>66.97</v>
      </c>
      <c r="F15" s="256">
        <f t="shared" si="4"/>
        <v>81.270315000000011</v>
      </c>
      <c r="G15" s="256">
        <f t="shared" si="4"/>
        <v>109.17238499999999</v>
      </c>
      <c r="H15" s="256">
        <f t="shared" si="4"/>
        <v>144.02413725000002</v>
      </c>
      <c r="I15" s="256">
        <f t="shared" si="4"/>
        <v>168.24025522499997</v>
      </c>
      <c r="J15" s="256">
        <f t="shared" si="4"/>
        <v>197.18765634750002</v>
      </c>
      <c r="L15" s="256">
        <v>6148627.5035642311</v>
      </c>
      <c r="M15" s="256">
        <v>8256601.0021385383</v>
      </c>
      <c r="N15" s="256">
        <v>12853562.000712845</v>
      </c>
      <c r="O15" s="256">
        <v>98424760.980000004</v>
      </c>
      <c r="P15" s="256">
        <v>229611351.44999999</v>
      </c>
    </row>
    <row r="16" spans="1:19" s="138" customFormat="1" x14ac:dyDescent="0.25">
      <c r="B16" s="257"/>
      <c r="C16" s="258"/>
      <c r="D16" s="258"/>
      <c r="E16" s="258"/>
      <c r="F16" s="258"/>
      <c r="G16" s="258"/>
      <c r="H16" s="258"/>
      <c r="I16" s="258"/>
      <c r="J16" s="258"/>
      <c r="L16" s="258"/>
      <c r="M16" s="258"/>
      <c r="N16" s="258"/>
      <c r="O16" s="258"/>
      <c r="P16" s="258"/>
    </row>
    <row r="17" spans="2:19" s="138" customFormat="1" x14ac:dyDescent="0.25">
      <c r="B17" s="257" t="s">
        <v>124</v>
      </c>
      <c r="C17" s="258"/>
      <c r="D17" s="258"/>
      <c r="E17" s="258">
        <f>'Profit&amp;Loss'!B33</f>
        <v>0</v>
      </c>
      <c r="F17" s="258">
        <f>'Profit&amp;Loss'!C33</f>
        <v>0</v>
      </c>
      <c r="G17" s="258">
        <f>'Profit&amp;Loss'!D33</f>
        <v>0</v>
      </c>
      <c r="H17" s="258">
        <f>'Profit&amp;Loss'!E33</f>
        <v>0</v>
      </c>
      <c r="I17" s="258">
        <f>'Profit&amp;Loss'!F33</f>
        <v>0</v>
      </c>
      <c r="J17" s="258">
        <f>'Profit&amp;Loss'!G33</f>
        <v>0</v>
      </c>
      <c r="L17" s="258">
        <v>8935507.5</v>
      </c>
      <c r="M17" s="258">
        <v>22592257.5</v>
      </c>
      <c r="N17" s="258">
        <v>40916257.5</v>
      </c>
      <c r="O17" s="258">
        <v>67152007.5</v>
      </c>
      <c r="P17" s="258">
        <v>102344257.5</v>
      </c>
    </row>
    <row r="18" spans="2:19" s="138" customFormat="1" x14ac:dyDescent="0.25">
      <c r="B18" s="257" t="s">
        <v>125</v>
      </c>
      <c r="C18" s="259"/>
      <c r="D18" s="259" t="str">
        <f t="shared" ref="D18:J18" si="5">+IFERROR(-D17/D22,"n.a.")</f>
        <v>n.a.</v>
      </c>
      <c r="E18" s="259" t="str">
        <f t="shared" si="5"/>
        <v>n.a.</v>
      </c>
      <c r="F18" s="259" t="str">
        <f t="shared" si="5"/>
        <v>n.a.</v>
      </c>
      <c r="G18" s="259" t="str">
        <f t="shared" si="5"/>
        <v>n.a.</v>
      </c>
      <c r="H18" s="259" t="str">
        <f t="shared" si="5"/>
        <v>n.a.</v>
      </c>
      <c r="I18" s="259" t="str">
        <f t="shared" si="5"/>
        <v>n.a.</v>
      </c>
      <c r="J18" s="259" t="str">
        <f t="shared" si="5"/>
        <v>n.a.</v>
      </c>
      <c r="L18" s="259">
        <v>0.15494875796592536</v>
      </c>
      <c r="M18" s="259">
        <v>0.28634039923954374</v>
      </c>
      <c r="N18" s="259">
        <v>0.39214354514088556</v>
      </c>
      <c r="O18" s="259">
        <v>0.42496563671745219</v>
      </c>
      <c r="P18" s="259">
        <v>0.52780618086176223</v>
      </c>
    </row>
    <row r="19" spans="2:19" s="138" customFormat="1" x14ac:dyDescent="0.25">
      <c r="B19" s="257" t="s">
        <v>126</v>
      </c>
      <c r="C19" s="258"/>
      <c r="D19" s="258">
        <f>('Balance Sheet'!E16-'Balance Sheet'!D16)*10^6</f>
        <v>0</v>
      </c>
      <c r="E19" s="258">
        <f>-('Balance Sheet'!F16-'Balance Sheet'!E16)*10^6</f>
        <v>0</v>
      </c>
      <c r="F19" s="258">
        <f>-('Balance Sheet'!G16-'Balance Sheet'!F16)*10^6</f>
        <v>0</v>
      </c>
      <c r="G19" s="258">
        <f>-('Balance Sheet'!H16-'Balance Sheet'!G16)*10^6</f>
        <v>0</v>
      </c>
      <c r="H19" s="258">
        <f>-('Balance Sheet'!I16-'Balance Sheet'!H16)*10^6</f>
        <v>0</v>
      </c>
      <c r="I19" s="258">
        <f>-('Balance Sheet'!J16-'Balance Sheet'!I16)*10^6</f>
        <v>0</v>
      </c>
      <c r="J19" s="258">
        <f>-('Balance Sheet'!K16-'Balance Sheet'!J16)*10^6</f>
        <v>0</v>
      </c>
      <c r="L19" s="258">
        <v>6081030.9499999993</v>
      </c>
      <c r="M19" s="258">
        <v>1487498.1678082198</v>
      </c>
      <c r="N19" s="258">
        <v>-969432.24821917713</v>
      </c>
      <c r="O19" s="258">
        <v>-37390913.698630132</v>
      </c>
      <c r="P19" s="258">
        <v>-45549234.553150699</v>
      </c>
    </row>
    <row r="20" spans="2:19" s="138" customFormat="1" x14ac:dyDescent="0.25">
      <c r="B20" s="257" t="s">
        <v>127</v>
      </c>
      <c r="C20" s="260"/>
      <c r="D20" s="259" t="str">
        <f t="shared" ref="D20:J20" si="6">IFERROR(-D19/(D8-C8),"n.a.")</f>
        <v>n.a.</v>
      </c>
      <c r="E20" s="259">
        <f t="shared" si="6"/>
        <v>0</v>
      </c>
      <c r="F20" s="259">
        <f t="shared" si="6"/>
        <v>0</v>
      </c>
      <c r="G20" s="259">
        <f t="shared" si="6"/>
        <v>0</v>
      </c>
      <c r="H20" s="259">
        <f t="shared" si="6"/>
        <v>0</v>
      </c>
      <c r="I20" s="259">
        <f t="shared" si="6"/>
        <v>0</v>
      </c>
      <c r="J20" s="259">
        <f t="shared" si="6"/>
        <v>0</v>
      </c>
      <c r="L20" s="259">
        <v>-0.11510093596591423</v>
      </c>
      <c r="M20" s="259">
        <v>-1.3836661317025926E-2</v>
      </c>
      <c r="N20" s="259">
        <v>6.4699554727780852E-3</v>
      </c>
      <c r="O20" s="259">
        <v>9.6134057064363204E-2</v>
      </c>
      <c r="P20" s="259">
        <v>0.1156443531173994</v>
      </c>
    </row>
    <row r="21" spans="2:19" s="138" customFormat="1" x14ac:dyDescent="0.25">
      <c r="B21" s="257"/>
      <c r="C21" s="260"/>
      <c r="D21" s="260"/>
      <c r="E21" s="260"/>
      <c r="F21" s="260"/>
      <c r="G21" s="260"/>
      <c r="H21" s="260"/>
      <c r="I21" s="260"/>
      <c r="J21" s="260"/>
      <c r="L21" s="260"/>
      <c r="M21" s="260"/>
      <c r="N21" s="260"/>
      <c r="O21" s="260"/>
      <c r="P21" s="260"/>
    </row>
    <row r="22" spans="2:19" s="138" customFormat="1" x14ac:dyDescent="0.25">
      <c r="B22" s="257" t="s">
        <v>128</v>
      </c>
      <c r="C22" s="258"/>
      <c r="D22" s="258"/>
      <c r="E22" s="258"/>
      <c r="F22" s="258">
        <f>CFS!C20*10^6</f>
        <v>0</v>
      </c>
      <c r="G22" s="258">
        <f>CFS!D20*10^6</f>
        <v>0</v>
      </c>
      <c r="H22" s="258">
        <f>CFS!E20*10^6</f>
        <v>0</v>
      </c>
      <c r="I22" s="258">
        <f>CFS!F20*10^6</f>
        <v>0</v>
      </c>
      <c r="J22" s="258">
        <f>CFS!G20*10^6</f>
        <v>0</v>
      </c>
      <c r="L22" s="258">
        <v>-57667500</v>
      </c>
      <c r="M22" s="258">
        <v>-78900000</v>
      </c>
      <c r="N22" s="258">
        <v>-104340000</v>
      </c>
      <c r="O22" s="258">
        <v>-158017500</v>
      </c>
      <c r="P22" s="258">
        <v>-193905000</v>
      </c>
    </row>
    <row r="23" spans="2:19" s="138" customFormat="1" x14ac:dyDescent="0.25">
      <c r="B23" s="245" t="s">
        <v>121</v>
      </c>
      <c r="C23" s="261"/>
      <c r="D23" s="261"/>
      <c r="E23" s="261">
        <f t="shared" ref="E23:J23" si="7">IFERROR(-E22/E8,"n.a.")</f>
        <v>0</v>
      </c>
      <c r="F23" s="339">
        <f t="shared" si="7"/>
        <v>0</v>
      </c>
      <c r="G23" s="339">
        <f t="shared" si="7"/>
        <v>0</v>
      </c>
      <c r="H23" s="339">
        <f t="shared" si="7"/>
        <v>0</v>
      </c>
      <c r="I23" s="339">
        <f t="shared" si="7"/>
        <v>0</v>
      </c>
      <c r="J23" s="339">
        <f t="shared" si="7"/>
        <v>0</v>
      </c>
      <c r="L23" s="261">
        <v>0.432406391149044</v>
      </c>
      <c r="M23" s="261">
        <v>0.32756496549462205</v>
      </c>
      <c r="N23" s="261">
        <v>0.2670562196341606</v>
      </c>
      <c r="O23" s="261">
        <v>0.20267753547810824</v>
      </c>
      <c r="P23" s="261">
        <v>0.16523320544493708</v>
      </c>
      <c r="S23" s="239"/>
    </row>
    <row r="24" spans="2:19" s="138" customFormat="1" x14ac:dyDescent="0.25">
      <c r="B24" s="255" t="s">
        <v>129</v>
      </c>
      <c r="C24" s="256">
        <f>+C15+C17+C19+C22</f>
        <v>0</v>
      </c>
      <c r="D24" s="256">
        <f t="shared" ref="D24:J24" si="8">+D15+D17+D19+D22</f>
        <v>0</v>
      </c>
      <c r="E24" s="256">
        <f t="shared" si="8"/>
        <v>66.97</v>
      </c>
      <c r="F24" s="256">
        <f t="shared" si="8"/>
        <v>81.270315000000011</v>
      </c>
      <c r="G24" s="256">
        <f t="shared" si="8"/>
        <v>109.17238499999999</v>
      </c>
      <c r="H24" s="256">
        <f t="shared" si="8"/>
        <v>144.02413725000002</v>
      </c>
      <c r="I24" s="256">
        <f t="shared" si="8"/>
        <v>168.24025522499997</v>
      </c>
      <c r="J24" s="256">
        <f t="shared" si="8"/>
        <v>197.18765634750002</v>
      </c>
      <c r="L24" s="256">
        <v>-36502334.046435773</v>
      </c>
      <c r="M24" s="256">
        <v>-46563643.33005324</v>
      </c>
      <c r="N24" s="256">
        <v>-51539612.747506335</v>
      </c>
      <c r="O24" s="256">
        <v>-29831645.218630105</v>
      </c>
      <c r="P24" s="256">
        <v>92501374.396849275</v>
      </c>
    </row>
    <row r="25" spans="2:19" s="138" customFormat="1" x14ac:dyDescent="0.25">
      <c r="B25" s="245" t="s">
        <v>130</v>
      </c>
      <c r="C25" s="262"/>
      <c r="D25" s="263"/>
      <c r="E25" s="263"/>
      <c r="F25" s="263"/>
      <c r="G25" s="263">
        <f t="shared" ref="G25:J25" si="9">+IFERROR(G24/F24-1,"n.a.")</f>
        <v>0.34332425068119865</v>
      </c>
      <c r="H25" s="263">
        <f t="shared" si="9"/>
        <v>0.31923597025016925</v>
      </c>
      <c r="I25" s="263">
        <f t="shared" si="9"/>
        <v>0.16813930246264985</v>
      </c>
      <c r="J25" s="263">
        <f t="shared" si="9"/>
        <v>0.17205989781569575</v>
      </c>
      <c r="L25" s="263">
        <v>5.4367203906660615</v>
      </c>
      <c r="M25" s="263">
        <v>0.27563468327307938</v>
      </c>
      <c r="N25" s="263">
        <v>0.10686383327400617</v>
      </c>
      <c r="O25" s="263">
        <v>-0.42118996188861613</v>
      </c>
      <c r="P25" s="263">
        <v>-4.1007801855688939</v>
      </c>
    </row>
    <row r="26" spans="2:19" s="138" customFormat="1" x14ac:dyDescent="0.25">
      <c r="B26" s="246"/>
      <c r="C26" s="264"/>
      <c r="D26" s="264"/>
      <c r="E26" s="264"/>
      <c r="F26" s="264"/>
      <c r="G26" s="264"/>
      <c r="H26" s="264"/>
      <c r="I26" s="264"/>
      <c r="J26" s="264"/>
      <c r="L26" s="264"/>
      <c r="M26" s="264"/>
      <c r="N26" s="264"/>
      <c r="O26" s="264"/>
      <c r="P26" s="264"/>
    </row>
    <row r="27" spans="2:19" s="138" customFormat="1" x14ac:dyDescent="0.25">
      <c r="B27" s="257" t="s">
        <v>131</v>
      </c>
      <c r="C27" s="260"/>
      <c r="D27" s="258"/>
      <c r="E27" s="265"/>
      <c r="F27" s="265">
        <v>1</v>
      </c>
      <c r="G27" s="265">
        <v>2</v>
      </c>
      <c r="H27" s="265">
        <v>3</v>
      </c>
      <c r="I27" s="265">
        <v>4</v>
      </c>
      <c r="J27" s="265">
        <v>5</v>
      </c>
      <c r="L27" s="265">
        <v>1</v>
      </c>
      <c r="M27" s="265">
        <v>2</v>
      </c>
      <c r="N27" s="265">
        <v>3</v>
      </c>
      <c r="O27" s="265">
        <v>4.0027397260273974</v>
      </c>
      <c r="P27" s="265">
        <v>5.0027397260273974</v>
      </c>
    </row>
    <row r="28" spans="2:19" s="138" customFormat="1" x14ac:dyDescent="0.25">
      <c r="B28" s="245" t="s">
        <v>132</v>
      </c>
      <c r="C28" s="266"/>
      <c r="D28" s="254"/>
      <c r="E28" s="267"/>
      <c r="F28" s="267">
        <f>IFERROR(1/(1+$D$41)^(F27),"n.a.")</f>
        <v>0.82560021135365402</v>
      </c>
      <c r="G28" s="267">
        <f>IFERROR(1/(1+$D$41)^(G27),"n.a.")</f>
        <v>0.68161570898719814</v>
      </c>
      <c r="H28" s="267">
        <f>IFERROR(1/(1+$D$41)^(H27),"n.a.")</f>
        <v>0.5627420734018016</v>
      </c>
      <c r="I28" s="267">
        <f>IFERROR(1/(1+$D$41)^(I27),"n.a.")</f>
        <v>0.46459997473812092</v>
      </c>
      <c r="J28" s="267">
        <f>IFERROR(1/(1+$D$41)^(J27),"n.a.")</f>
        <v>0.38357383733869493</v>
      </c>
      <c r="L28" s="267">
        <v>0.83437630371297444</v>
      </c>
      <c r="M28" s="267">
        <v>0.69618381619772585</v>
      </c>
      <c r="N28" s="267">
        <v>0.5808792792638513</v>
      </c>
      <c r="O28" s="267">
        <v>0.48443152743421464</v>
      </c>
      <c r="P28" s="267">
        <v>0.40419818726259038</v>
      </c>
    </row>
    <row r="29" spans="2:19" s="138" customFormat="1" x14ac:dyDescent="0.25">
      <c r="B29" s="255" t="s">
        <v>133</v>
      </c>
      <c r="C29" s="268"/>
      <c r="D29" s="256"/>
      <c r="E29" s="256"/>
      <c r="F29" s="256">
        <f t="shared" ref="F29:J29" si="10">IFERROR(F28*F24,"n.a.")</f>
        <v>67.096789240778051</v>
      </c>
      <c r="G29" s="256">
        <f t="shared" si="10"/>
        <v>74.413612603598352</v>
      </c>
      <c r="H29" s="256">
        <f t="shared" si="10"/>
        <v>81.04844161597066</v>
      </c>
      <c r="I29" s="256">
        <f t="shared" si="10"/>
        <v>78.164418327470003</v>
      </c>
      <c r="J29" s="256">
        <f t="shared" si="10"/>
        <v>75.636026021034453</v>
      </c>
      <c r="L29" s="256">
        <v>-30456682.558561344</v>
      </c>
      <c r="M29" s="256">
        <v>-32416854.909586247</v>
      </c>
      <c r="N29" s="256">
        <v>-29938293.106309485</v>
      </c>
      <c r="O29" s="256">
        <v>-14451389.459136568</v>
      </c>
      <c r="P29" s="256">
        <v>37388887.850504667</v>
      </c>
    </row>
    <row r="30" spans="2:19" s="138" customFormat="1" x14ac:dyDescent="0.25">
      <c r="B30" s="244"/>
      <c r="C30" s="269"/>
      <c r="D30" s="269"/>
      <c r="E30" s="269"/>
      <c r="F30" s="269"/>
      <c r="G30" s="269"/>
      <c r="H30" s="270"/>
      <c r="I30" s="270"/>
      <c r="J30" s="270"/>
      <c r="K30" s="244"/>
      <c r="L30" s="244"/>
      <c r="M30" s="244"/>
      <c r="N30" s="244"/>
      <c r="O30" s="244"/>
    </row>
    <row r="31" spans="2:19" s="138" customFormat="1" x14ac:dyDescent="0.25">
      <c r="B31" s="271" t="s">
        <v>134</v>
      </c>
      <c r="C31" s="272"/>
      <c r="D31" s="272"/>
      <c r="E31" s="273"/>
      <c r="F31" s="271" t="s">
        <v>111</v>
      </c>
      <c r="G31" s="271"/>
      <c r="H31" s="271"/>
      <c r="L31" s="271" t="s">
        <v>134</v>
      </c>
      <c r="M31" s="272"/>
      <c r="N31" s="272"/>
      <c r="O31" s="273"/>
      <c r="P31" s="271" t="s">
        <v>111</v>
      </c>
      <c r="Q31" s="271"/>
      <c r="R31" s="271"/>
    </row>
    <row r="32" spans="2:19" s="138" customFormat="1" x14ac:dyDescent="0.25">
      <c r="B32" s="257" t="s">
        <v>135</v>
      </c>
      <c r="C32" s="257"/>
      <c r="D32" s="274">
        <v>6.5000000000000002E-2</v>
      </c>
      <c r="E32" s="273"/>
      <c r="F32" s="245" t="s">
        <v>136</v>
      </c>
      <c r="G32" s="245"/>
      <c r="H32" s="275">
        <f>SUM(F29:J29)</f>
        <v>376.35928780885155</v>
      </c>
      <c r="L32" s="257" t="s">
        <v>135</v>
      </c>
      <c r="M32" s="257"/>
      <c r="N32" s="274">
        <v>6.5000000000000002E-2</v>
      </c>
      <c r="O32" s="273"/>
      <c r="P32" s="245" t="s">
        <v>136</v>
      </c>
      <c r="Q32" s="245"/>
      <c r="R32" s="275">
        <f>SUM(L29:P29)</f>
        <v>-69874332.183088988</v>
      </c>
    </row>
    <row r="33" spans="2:18" s="138" customFormat="1" x14ac:dyDescent="0.25">
      <c r="B33" s="246" t="s">
        <v>137</v>
      </c>
      <c r="C33" s="246"/>
      <c r="D33" s="276">
        <v>1</v>
      </c>
      <c r="E33" s="273"/>
      <c r="F33" s="246" t="s">
        <v>138</v>
      </c>
      <c r="G33" s="246"/>
      <c r="H33" s="277">
        <f>+J24*(1+H35)/(D41-H35)</f>
        <v>1051.7224925457538</v>
      </c>
      <c r="L33" s="246" t="s">
        <v>137</v>
      </c>
      <c r="M33" s="246"/>
      <c r="N33" s="276">
        <v>1</v>
      </c>
      <c r="O33" s="273"/>
      <c r="P33" s="246" t="s">
        <v>138</v>
      </c>
      <c r="Q33" s="246"/>
      <c r="R33" s="277">
        <f>+P24*(1+R35)/(N41-R35)</f>
        <v>546767118.79348373</v>
      </c>
    </row>
    <row r="34" spans="2:18" s="138" customFormat="1" x14ac:dyDescent="0.25">
      <c r="B34" s="257" t="s">
        <v>139</v>
      </c>
      <c r="C34" s="257"/>
      <c r="D34" s="274">
        <v>8.5000000000000006E-2</v>
      </c>
      <c r="E34" s="273"/>
      <c r="F34" s="246" t="s">
        <v>140</v>
      </c>
      <c r="G34" s="246"/>
      <c r="H34" s="278">
        <f>+J28</f>
        <v>0.38357383733869493</v>
      </c>
      <c r="L34" s="257" t="s">
        <v>139</v>
      </c>
      <c r="M34" s="257"/>
      <c r="N34" s="274">
        <v>8.5000000000000006E-2</v>
      </c>
      <c r="O34" s="273"/>
      <c r="P34" s="246" t="s">
        <v>140</v>
      </c>
      <c r="Q34" s="246"/>
      <c r="R34" s="278">
        <v>0.40419818726259038</v>
      </c>
    </row>
    <row r="35" spans="2:18" s="138" customFormat="1" x14ac:dyDescent="0.25">
      <c r="B35" s="257" t="s">
        <v>141</v>
      </c>
      <c r="C35" s="257"/>
      <c r="D35" s="274">
        <v>0.05</v>
      </c>
      <c r="E35" s="273"/>
      <c r="F35" s="246" t="s">
        <v>142</v>
      </c>
      <c r="G35" s="246"/>
      <c r="H35" s="279">
        <v>0.02</v>
      </c>
      <c r="I35" s="238" t="s">
        <v>389</v>
      </c>
      <c r="L35" s="257" t="s">
        <v>141</v>
      </c>
      <c r="M35" s="257"/>
      <c r="N35" s="274">
        <v>0.05</v>
      </c>
      <c r="O35" s="273"/>
      <c r="P35" s="246" t="s">
        <v>142</v>
      </c>
      <c r="Q35" s="246"/>
      <c r="R35" s="279">
        <v>3.5000000000000003E-2</v>
      </c>
    </row>
    <row r="36" spans="2:18" s="138" customFormat="1" x14ac:dyDescent="0.25">
      <c r="B36" s="245" t="s">
        <v>143</v>
      </c>
      <c r="C36" s="245"/>
      <c r="D36" s="280">
        <v>0.04</v>
      </c>
      <c r="E36" s="273"/>
      <c r="F36" s="246" t="s">
        <v>144</v>
      </c>
      <c r="G36" s="246"/>
      <c r="H36" s="277">
        <f>+H33*H34</f>
        <v>403.41323228119177</v>
      </c>
      <c r="L36" s="245" t="s">
        <v>143</v>
      </c>
      <c r="M36" s="245"/>
      <c r="N36" s="280">
        <v>0.05</v>
      </c>
      <c r="O36" s="273"/>
      <c r="P36" s="246" t="s">
        <v>144</v>
      </c>
      <c r="Q36" s="246"/>
      <c r="R36" s="277">
        <f>+R33*R34</f>
        <v>221002278.27111554</v>
      </c>
    </row>
    <row r="37" spans="2:18" s="138" customFormat="1" x14ac:dyDescent="0.25">
      <c r="B37" s="255" t="s">
        <v>145</v>
      </c>
      <c r="C37" s="255"/>
      <c r="D37" s="281">
        <f>+D32+D34*D33+D36+D35</f>
        <v>0.24000000000000005</v>
      </c>
      <c r="E37" s="273"/>
      <c r="F37" s="257" t="s">
        <v>146</v>
      </c>
      <c r="G37" s="257"/>
      <c r="H37" s="415"/>
      <c r="L37" s="255" t="s">
        <v>145</v>
      </c>
      <c r="M37" s="255"/>
      <c r="N37" s="283">
        <f>+N32+N34*N33+N36+N35</f>
        <v>0.25</v>
      </c>
      <c r="O37" s="273"/>
      <c r="P37" s="257" t="s">
        <v>146</v>
      </c>
      <c r="Q37" s="257"/>
      <c r="R37" s="282">
        <v>1310657</v>
      </c>
    </row>
    <row r="38" spans="2:18" s="138" customFormat="1" x14ac:dyDescent="0.25">
      <c r="B38" s="245" t="s">
        <v>147</v>
      </c>
      <c r="C38" s="245"/>
      <c r="D38" s="284">
        <v>0.13</v>
      </c>
      <c r="E38" s="273"/>
      <c r="F38" s="246" t="s">
        <v>148</v>
      </c>
      <c r="G38" s="246"/>
      <c r="H38" s="416"/>
      <c r="I38" s="239"/>
      <c r="L38" s="245" t="s">
        <v>147</v>
      </c>
      <c r="M38" s="245"/>
      <c r="N38" s="284">
        <v>0.15</v>
      </c>
      <c r="O38" s="273"/>
      <c r="P38" s="246" t="s">
        <v>148</v>
      </c>
      <c r="Q38" s="246"/>
      <c r="R38" s="285">
        <v>44327873</v>
      </c>
    </row>
    <row r="39" spans="2:18" s="138" customFormat="1" x14ac:dyDescent="0.25">
      <c r="B39" s="246" t="s">
        <v>149</v>
      </c>
      <c r="C39" s="246"/>
      <c r="D39" s="286">
        <v>0.2</v>
      </c>
      <c r="E39" s="273"/>
      <c r="F39" s="255" t="s">
        <v>150</v>
      </c>
      <c r="G39" s="255"/>
      <c r="H39" s="287">
        <f>+SUM(H36:H38)+H32</f>
        <v>779.77252009004337</v>
      </c>
      <c r="L39" s="246" t="s">
        <v>149</v>
      </c>
      <c r="M39" s="246"/>
      <c r="N39" s="286">
        <v>0.3</v>
      </c>
      <c r="O39" s="273"/>
      <c r="P39" s="255" t="s">
        <v>150</v>
      </c>
      <c r="Q39" s="255"/>
      <c r="R39" s="287">
        <f>+SUM(R36:R38)+R32</f>
        <v>196766476.08802655</v>
      </c>
    </row>
    <row r="40" spans="2:18" s="138" customFormat="1" x14ac:dyDescent="0.25">
      <c r="B40" s="288" t="s">
        <v>151</v>
      </c>
      <c r="C40" s="288"/>
      <c r="D40" s="289">
        <v>0.26</v>
      </c>
      <c r="E40" s="273"/>
      <c r="F40" s="245"/>
      <c r="L40" s="288" t="s">
        <v>151</v>
      </c>
      <c r="M40" s="288"/>
      <c r="N40" s="289">
        <v>0.22</v>
      </c>
      <c r="O40" s="273"/>
      <c r="P40" s="245"/>
    </row>
    <row r="41" spans="2:18" s="138" customFormat="1" ht="13" thickBot="1" x14ac:dyDescent="0.3">
      <c r="B41" s="290" t="s">
        <v>134</v>
      </c>
      <c r="C41" s="290"/>
      <c r="D41" s="291">
        <f>+D37*(1-D39)+D38*(1-D40)*D39</f>
        <v>0.21124000000000007</v>
      </c>
      <c r="E41" s="273"/>
      <c r="F41" s="292" t="s">
        <v>152</v>
      </c>
      <c r="H41" s="293"/>
      <c r="L41" s="290" t="s">
        <v>134</v>
      </c>
      <c r="M41" s="290"/>
      <c r="N41" s="291">
        <f>+N37*(1-N39)+N38*(1-N40)*N39</f>
        <v>0.21009999999999998</v>
      </c>
      <c r="O41" s="273"/>
      <c r="P41" s="292" t="s">
        <v>152</v>
      </c>
      <c r="R41" s="294">
        <f>H41</f>
        <v>0</v>
      </c>
    </row>
    <row r="42" spans="2:18" s="138" customFormat="1" ht="13.5" thickTop="1" thickBot="1" x14ac:dyDescent="0.3">
      <c r="B42" s="245"/>
      <c r="C42" s="245"/>
      <c r="D42" s="295"/>
      <c r="E42" s="273"/>
      <c r="F42" s="290" t="s">
        <v>153</v>
      </c>
      <c r="G42" s="296"/>
      <c r="H42" s="297">
        <f>H39-H41</f>
        <v>779.77252009004337</v>
      </c>
      <c r="I42" s="292"/>
      <c r="J42" s="292"/>
      <c r="L42" s="245"/>
      <c r="M42" s="245"/>
      <c r="N42" s="295"/>
      <c r="O42" s="273"/>
      <c r="P42" s="290" t="s">
        <v>153</v>
      </c>
      <c r="Q42" s="296"/>
      <c r="R42" s="297">
        <f>R39-R41</f>
        <v>196766476.08802655</v>
      </c>
    </row>
    <row r="43" spans="2:18" s="138" customFormat="1" ht="13" thickTop="1" x14ac:dyDescent="0.25">
      <c r="E43" s="273"/>
      <c r="F43" s="292"/>
      <c r="G43" s="292"/>
      <c r="H43" s="292"/>
      <c r="I43" s="292"/>
      <c r="J43" s="292"/>
    </row>
    <row r="44" spans="2:18" s="138" customFormat="1" x14ac:dyDescent="0.25"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</row>
    <row r="45" spans="2:18" s="138" customFormat="1" x14ac:dyDescent="0.25"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</row>
    <row r="46" spans="2:18" s="138" customFormat="1" x14ac:dyDescent="0.25"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</row>
    <row r="47" spans="2:18" s="138" customFormat="1" x14ac:dyDescent="0.25"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</row>
    <row r="48" spans="2:18" s="138" customFormat="1" x14ac:dyDescent="0.25"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</row>
    <row r="49" spans="2:14" s="138" customFormat="1" x14ac:dyDescent="0.25"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</row>
    <row r="50" spans="2:14" s="138" customFormat="1" x14ac:dyDescent="0.25"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</row>
    <row r="51" spans="2:14" s="138" customFormat="1" x14ac:dyDescent="0.25"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</row>
    <row r="52" spans="2:14" s="138" customFormat="1" x14ac:dyDescent="0.25"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</row>
    <row r="53" spans="2:14" s="138" customFormat="1" x14ac:dyDescent="0.25"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</row>
    <row r="54" spans="2:14" s="138" customFormat="1" x14ac:dyDescent="0.25"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</row>
    <row r="55" spans="2:14" s="138" customFormat="1" x14ac:dyDescent="0.25"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</row>
    <row r="56" spans="2:14" s="138" customFormat="1" x14ac:dyDescent="0.25"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</row>
    <row r="57" spans="2:14" s="138" customFormat="1" x14ac:dyDescent="0.25"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</row>
    <row r="58" spans="2:14" s="138" customFormat="1" x14ac:dyDescent="0.25"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</row>
    <row r="59" spans="2:14" s="138" customFormat="1" x14ac:dyDescent="0.25"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</row>
    <row r="60" spans="2:14" s="138" customFormat="1" x14ac:dyDescent="0.25"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</row>
    <row r="61" spans="2:14" s="138" customFormat="1" x14ac:dyDescent="0.25"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</row>
    <row r="62" spans="2:14" s="138" customFormat="1" x14ac:dyDescent="0.25"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</row>
    <row r="63" spans="2:14" s="138" customFormat="1" x14ac:dyDescent="0.25"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</row>
    <row r="64" spans="2:14" s="138" customFormat="1" x14ac:dyDescent="0.25"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</row>
    <row r="65" spans="2:14" s="138" customFormat="1" x14ac:dyDescent="0.25"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</row>
    <row r="66" spans="2:14" s="138" customFormat="1" x14ac:dyDescent="0.25"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</row>
    <row r="67" spans="2:14" s="138" customFormat="1" x14ac:dyDescent="0.25"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</row>
    <row r="68" spans="2:14" s="138" customFormat="1" x14ac:dyDescent="0.25"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</row>
    <row r="69" spans="2:14" s="138" customFormat="1" x14ac:dyDescent="0.25"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</row>
    <row r="70" spans="2:14" s="138" customFormat="1" x14ac:dyDescent="0.25"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</row>
    <row r="71" spans="2:14" s="138" customFormat="1" x14ac:dyDescent="0.25"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</row>
    <row r="72" spans="2:14" s="138" customFormat="1" x14ac:dyDescent="0.25"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</row>
    <row r="73" spans="2:14" s="138" customFormat="1" x14ac:dyDescent="0.25"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</row>
    <row r="74" spans="2:14" s="138" customFormat="1" x14ac:dyDescent="0.25"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</row>
    <row r="75" spans="2:14" s="138" customFormat="1" x14ac:dyDescent="0.25"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</row>
    <row r="76" spans="2:14" s="138" customFormat="1" x14ac:dyDescent="0.25"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</row>
    <row r="77" spans="2:14" s="138" customFormat="1" x14ac:dyDescent="0.25"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</row>
    <row r="78" spans="2:14" s="138" customFormat="1" x14ac:dyDescent="0.25"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</row>
    <row r="79" spans="2:14" s="138" customFormat="1" x14ac:dyDescent="0.25"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</row>
    <row r="80" spans="2:14" s="138" customFormat="1" x14ac:dyDescent="0.25"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</row>
    <row r="81" spans="2:14" s="138" customFormat="1" x14ac:dyDescent="0.25"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</row>
    <row r="82" spans="2:14" s="138" customFormat="1" x14ac:dyDescent="0.25"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</row>
    <row r="83" spans="2:14" s="138" customFormat="1" x14ac:dyDescent="0.25"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</row>
  </sheetData>
  <mergeCells count="1">
    <mergeCell ref="A1:J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C8CC-C06D-455D-9809-BB072C18D441}">
  <sheetPr>
    <tabColor rgb="FFFFFF00"/>
  </sheetPr>
  <dimension ref="F10:L10"/>
  <sheetViews>
    <sheetView workbookViewId="0"/>
  </sheetViews>
  <sheetFormatPr defaultRowHeight="14.5" x14ac:dyDescent="0.35"/>
  <cols>
    <col min="12" max="12" width="70.36328125" customWidth="1"/>
  </cols>
  <sheetData>
    <row r="10" spans="6:12" ht="51" x14ac:dyDescent="1.1000000000000001">
      <c r="F10" s="734" t="s">
        <v>423</v>
      </c>
      <c r="G10" s="734"/>
      <c r="H10" s="734"/>
      <c r="I10" s="734"/>
      <c r="J10" s="734"/>
      <c r="K10" s="734"/>
      <c r="L10" s="734"/>
    </row>
  </sheetData>
  <mergeCells count="1">
    <mergeCell ref="F10:L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P14:R19"/>
  <sheetViews>
    <sheetView workbookViewId="0">
      <selection activeCell="S14" sqref="S14"/>
    </sheetView>
  </sheetViews>
  <sheetFormatPr defaultColWidth="8.81640625" defaultRowHeight="14.5" x14ac:dyDescent="0.35"/>
  <sheetData>
    <row r="14" spans="17:18" x14ac:dyDescent="0.35">
      <c r="Q14">
        <f>20/70</f>
        <v>0.2857142857142857</v>
      </c>
      <c r="R14">
        <f>30/70</f>
        <v>0.42857142857142855</v>
      </c>
    </row>
    <row r="19" spans="16:16" x14ac:dyDescent="0.35">
      <c r="P19">
        <f>100/70</f>
        <v>1.4285714285714286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H39"/>
  <sheetViews>
    <sheetView topLeftCell="A24" zoomScale="130" zoomScaleNormal="130" workbookViewId="0">
      <selection activeCell="A2" sqref="A2:D35"/>
    </sheetView>
  </sheetViews>
  <sheetFormatPr defaultColWidth="9.81640625" defaultRowHeight="12" x14ac:dyDescent="0.3"/>
  <cols>
    <col min="1" max="1" width="4.453125" style="1" customWidth="1"/>
    <col min="2" max="2" width="18.1796875" style="1" customWidth="1"/>
    <col min="3" max="3" width="26.453125" style="1" customWidth="1"/>
    <col min="4" max="4" width="24.36328125" style="1" customWidth="1"/>
    <col min="5" max="5" width="18.36328125" style="1" customWidth="1"/>
    <col min="6" max="6" width="13.81640625" style="1" customWidth="1"/>
    <col min="7" max="16384" width="9.81640625" style="1"/>
  </cols>
  <sheetData>
    <row r="2" spans="1:5" x14ac:dyDescent="0.3">
      <c r="B2" s="1" t="s">
        <v>178</v>
      </c>
    </row>
    <row r="3" spans="1:5" x14ac:dyDescent="0.3">
      <c r="B3" s="5"/>
      <c r="C3" s="735" t="s">
        <v>179</v>
      </c>
      <c r="D3" s="735"/>
    </row>
    <row r="4" spans="1:5" x14ac:dyDescent="0.3">
      <c r="B4" s="5" t="s">
        <v>82</v>
      </c>
      <c r="C4" s="5" t="s">
        <v>180</v>
      </c>
      <c r="D4" s="5" t="s">
        <v>181</v>
      </c>
    </row>
    <row r="5" spans="1:5" x14ac:dyDescent="0.3">
      <c r="A5" s="1">
        <v>1</v>
      </c>
      <c r="B5" s="1" t="s">
        <v>182</v>
      </c>
      <c r="C5" s="20">
        <v>606218</v>
      </c>
      <c r="D5" s="20">
        <v>444379</v>
      </c>
    </row>
    <row r="6" spans="1:5" x14ac:dyDescent="0.3">
      <c r="A6" s="1">
        <v>2</v>
      </c>
      <c r="B6" s="136" t="s">
        <v>83</v>
      </c>
      <c r="C6" s="20">
        <v>778883</v>
      </c>
      <c r="D6" s="20">
        <v>1115663</v>
      </c>
      <c r="E6" s="137">
        <f>D6+D18+D22+D25+D27+D28</f>
        <v>5489413</v>
      </c>
    </row>
    <row r="7" spans="1:5" x14ac:dyDescent="0.3">
      <c r="A7" s="1">
        <v>3</v>
      </c>
      <c r="B7" s="1" t="s">
        <v>183</v>
      </c>
      <c r="C7" s="20">
        <v>298241</v>
      </c>
      <c r="D7" s="20">
        <v>745939</v>
      </c>
    </row>
    <row r="8" spans="1:5" x14ac:dyDescent="0.3">
      <c r="A8" s="1">
        <f>A7+1</f>
        <v>4</v>
      </c>
      <c r="B8" s="1" t="s">
        <v>184</v>
      </c>
      <c r="C8" s="20">
        <v>947904</v>
      </c>
      <c r="D8" s="20">
        <v>886956</v>
      </c>
    </row>
    <row r="9" spans="1:5" x14ac:dyDescent="0.3">
      <c r="A9" s="1">
        <f t="shared" ref="A9:A31" si="0">A8+1</f>
        <v>5</v>
      </c>
      <c r="B9" s="1" t="s">
        <v>185</v>
      </c>
      <c r="C9" s="20">
        <v>538568</v>
      </c>
      <c r="D9" s="20">
        <v>739888</v>
      </c>
    </row>
    <row r="10" spans="1:5" x14ac:dyDescent="0.3">
      <c r="A10" s="1">
        <f t="shared" si="0"/>
        <v>6</v>
      </c>
      <c r="B10" s="1" t="s">
        <v>186</v>
      </c>
      <c r="C10" s="20">
        <v>510976</v>
      </c>
      <c r="D10" s="20">
        <v>718220</v>
      </c>
    </row>
    <row r="11" spans="1:5" x14ac:dyDescent="0.3">
      <c r="A11" s="1">
        <f t="shared" si="0"/>
        <v>7</v>
      </c>
      <c r="B11" s="1" t="s">
        <v>187</v>
      </c>
      <c r="C11" s="20">
        <v>610854</v>
      </c>
      <c r="D11" s="20">
        <v>603056</v>
      </c>
    </row>
    <row r="12" spans="1:5" x14ac:dyDescent="0.3">
      <c r="A12" s="1">
        <f t="shared" si="0"/>
        <v>8</v>
      </c>
      <c r="B12" s="1" t="s">
        <v>188</v>
      </c>
      <c r="C12" s="20">
        <v>302348</v>
      </c>
      <c r="D12" s="20">
        <v>361841</v>
      </c>
    </row>
    <row r="13" spans="1:5" x14ac:dyDescent="0.3">
      <c r="A13" s="1">
        <f t="shared" si="0"/>
        <v>9</v>
      </c>
      <c r="B13" s="1" t="s">
        <v>189</v>
      </c>
      <c r="C13" s="20">
        <v>371924</v>
      </c>
      <c r="D13" s="20">
        <v>576670</v>
      </c>
    </row>
    <row r="14" spans="1:5" x14ac:dyDescent="0.3">
      <c r="A14" s="1">
        <f t="shared" si="0"/>
        <v>10</v>
      </c>
      <c r="B14" s="1" t="s">
        <v>190</v>
      </c>
      <c r="C14" s="20">
        <v>757936</v>
      </c>
      <c r="D14" s="20">
        <v>660627</v>
      </c>
    </row>
    <row r="15" spans="1:5" x14ac:dyDescent="0.3">
      <c r="A15" s="1">
        <f t="shared" si="0"/>
        <v>11</v>
      </c>
      <c r="B15" s="1" t="s">
        <v>191</v>
      </c>
      <c r="C15" s="20">
        <v>224138</v>
      </c>
      <c r="D15" s="20">
        <v>304278</v>
      </c>
    </row>
    <row r="16" spans="1:5" x14ac:dyDescent="0.3">
      <c r="A16" s="1">
        <f t="shared" si="0"/>
        <v>12</v>
      </c>
      <c r="B16" s="1" t="s">
        <v>192</v>
      </c>
      <c r="C16" s="20">
        <v>171086</v>
      </c>
      <c r="D16" s="20">
        <v>412179</v>
      </c>
    </row>
    <row r="17" spans="1:8" x14ac:dyDescent="0.3">
      <c r="A17" s="1">
        <f t="shared" si="0"/>
        <v>13</v>
      </c>
      <c r="B17" s="1" t="s">
        <v>193</v>
      </c>
      <c r="C17" s="20">
        <v>1519306</v>
      </c>
      <c r="D17" s="20">
        <v>1036020</v>
      </c>
    </row>
    <row r="18" spans="1:8" x14ac:dyDescent="0.3">
      <c r="A18" s="1">
        <f t="shared" si="0"/>
        <v>14</v>
      </c>
      <c r="B18" s="136" t="s">
        <v>176</v>
      </c>
      <c r="C18" s="20">
        <v>1297949</v>
      </c>
      <c r="D18" s="20">
        <v>1343134</v>
      </c>
    </row>
    <row r="19" spans="1:8" x14ac:dyDescent="0.3">
      <c r="A19" s="1">
        <f t="shared" si="0"/>
        <v>15</v>
      </c>
      <c r="B19" s="1" t="s">
        <v>194</v>
      </c>
      <c r="C19" s="20">
        <v>323464</v>
      </c>
      <c r="D19" s="20">
        <v>176338</v>
      </c>
    </row>
    <row r="20" spans="1:8" x14ac:dyDescent="0.3">
      <c r="A20" s="1">
        <f t="shared" si="0"/>
        <v>16</v>
      </c>
      <c r="B20" s="1" t="s">
        <v>195</v>
      </c>
      <c r="C20" s="20">
        <v>656615</v>
      </c>
      <c r="D20" s="20">
        <v>651368</v>
      </c>
    </row>
    <row r="21" spans="1:8" x14ac:dyDescent="0.3">
      <c r="A21" s="1">
        <f t="shared" si="0"/>
        <v>17</v>
      </c>
      <c r="B21" s="1" t="s">
        <v>196</v>
      </c>
      <c r="C21" s="20">
        <v>208127</v>
      </c>
      <c r="D21" s="20">
        <v>538486</v>
      </c>
    </row>
    <row r="22" spans="1:8" x14ac:dyDescent="0.3">
      <c r="A22" s="1">
        <f t="shared" si="0"/>
        <v>18</v>
      </c>
      <c r="B22" s="136" t="s">
        <v>197</v>
      </c>
      <c r="C22" s="20">
        <v>535682</v>
      </c>
      <c r="D22" s="20">
        <v>590570</v>
      </c>
    </row>
    <row r="23" spans="1:8" x14ac:dyDescent="0.3">
      <c r="A23" s="1">
        <f t="shared" si="0"/>
        <v>19</v>
      </c>
      <c r="B23" s="1" t="s">
        <v>198</v>
      </c>
      <c r="C23" s="20">
        <v>984317</v>
      </c>
      <c r="D23" s="20">
        <v>834387</v>
      </c>
    </row>
    <row r="24" spans="1:8" x14ac:dyDescent="0.3">
      <c r="A24" s="1">
        <f t="shared" si="0"/>
        <v>20</v>
      </c>
      <c r="B24" s="1" t="s">
        <v>199</v>
      </c>
      <c r="C24" s="20">
        <v>496804</v>
      </c>
      <c r="D24" s="20">
        <v>676829</v>
      </c>
    </row>
    <row r="25" spans="1:8" x14ac:dyDescent="0.3">
      <c r="A25" s="1">
        <f t="shared" si="0"/>
        <v>21</v>
      </c>
      <c r="B25" s="136" t="s">
        <v>200</v>
      </c>
      <c r="C25" s="20">
        <v>1032119</v>
      </c>
      <c r="D25" s="20">
        <v>998015</v>
      </c>
    </row>
    <row r="26" spans="1:8" x14ac:dyDescent="0.3">
      <c r="A26" s="1">
        <f t="shared" si="0"/>
        <v>22</v>
      </c>
      <c r="B26" s="1" t="s">
        <v>201</v>
      </c>
      <c r="C26" s="20">
        <v>601429</v>
      </c>
      <c r="D26" s="20">
        <v>480771</v>
      </c>
    </row>
    <row r="27" spans="1:8" x14ac:dyDescent="0.3">
      <c r="A27" s="1">
        <f t="shared" si="0"/>
        <v>23</v>
      </c>
      <c r="B27" s="136" t="s">
        <v>202</v>
      </c>
      <c r="C27" s="20">
        <v>700710</v>
      </c>
      <c r="D27" s="20">
        <v>852831</v>
      </c>
    </row>
    <row r="28" spans="1:8" x14ac:dyDescent="0.3">
      <c r="A28" s="1">
        <f t="shared" si="0"/>
        <v>24</v>
      </c>
      <c r="B28" s="136" t="s">
        <v>84</v>
      </c>
      <c r="C28" s="20">
        <v>591225</v>
      </c>
      <c r="D28" s="20">
        <v>589200</v>
      </c>
    </row>
    <row r="29" spans="1:8" x14ac:dyDescent="0.3">
      <c r="A29" s="1">
        <f t="shared" si="0"/>
        <v>25</v>
      </c>
      <c r="B29" s="1" t="s">
        <v>203</v>
      </c>
      <c r="C29" s="20">
        <v>185023</v>
      </c>
      <c r="D29" s="20">
        <v>221903</v>
      </c>
    </row>
    <row r="30" spans="1:8" x14ac:dyDescent="0.3">
      <c r="A30" s="1">
        <f t="shared" si="0"/>
        <v>26</v>
      </c>
      <c r="B30" s="136" t="s">
        <v>85</v>
      </c>
      <c r="C30" s="20">
        <v>601298</v>
      </c>
      <c r="D30" s="20">
        <v>439509</v>
      </c>
    </row>
    <row r="31" spans="1:8" x14ac:dyDescent="0.3">
      <c r="A31" s="1">
        <f t="shared" si="0"/>
        <v>27</v>
      </c>
      <c r="B31" s="1" t="s">
        <v>204</v>
      </c>
      <c r="C31" s="20">
        <v>577162</v>
      </c>
      <c r="D31" s="20">
        <v>1559477</v>
      </c>
    </row>
    <row r="32" spans="1:8" ht="12.5" thickBot="1" x14ac:dyDescent="0.35">
      <c r="B32" s="19" t="s">
        <v>16</v>
      </c>
      <c r="C32" s="21">
        <f>SUM(C5:C31)</f>
        <v>16430306</v>
      </c>
      <c r="D32" s="21">
        <f>SUM(D5:D31)</f>
        <v>18558534</v>
      </c>
      <c r="E32" s="9">
        <f>C32/D32</f>
        <v>0.88532348514166048</v>
      </c>
      <c r="F32" s="1">
        <v>58</v>
      </c>
      <c r="G32" s="143">
        <f>C32/F32</f>
        <v>283281.13793103449</v>
      </c>
      <c r="H32" s="143">
        <f>D32/F32</f>
        <v>319974.72413793101</v>
      </c>
    </row>
    <row r="33" spans="2:6" ht="12.5" thickTop="1" x14ac:dyDescent="0.3">
      <c r="C33" s="20"/>
    </row>
    <row r="34" spans="2:6" s="142" customFormat="1" ht="84" x14ac:dyDescent="0.35">
      <c r="B34" s="141" t="s">
        <v>205</v>
      </c>
    </row>
    <row r="39" spans="2:6" x14ac:dyDescent="0.3">
      <c r="F39" s="164" t="s">
        <v>270</v>
      </c>
    </row>
  </sheetData>
  <mergeCells count="1">
    <mergeCell ref="C3:D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6"/>
  <sheetViews>
    <sheetView topLeftCell="A33" workbookViewId="0">
      <selection activeCell="B21" sqref="B21:D55"/>
    </sheetView>
  </sheetViews>
  <sheetFormatPr defaultColWidth="8.6328125" defaultRowHeight="12.5" x14ac:dyDescent="0.25"/>
  <cols>
    <col min="1" max="1" width="3.81640625" style="208" customWidth="1"/>
    <col min="2" max="2" width="21.36328125" style="211" customWidth="1"/>
    <col min="3" max="3" width="21.453125" style="211" customWidth="1"/>
    <col min="4" max="4" width="15.6328125" style="211" customWidth="1"/>
    <col min="5" max="7" width="14.6328125" style="211" customWidth="1"/>
    <col min="8" max="8" width="28.6328125" style="211" customWidth="1"/>
    <col min="9" max="9" width="17.81640625" style="211" customWidth="1"/>
    <col min="10" max="10" width="14.36328125" style="211" customWidth="1"/>
    <col min="11" max="11" width="14.1796875" style="211" customWidth="1"/>
    <col min="12" max="12" width="17.453125" style="211" customWidth="1"/>
    <col min="13" max="13" width="13.453125" style="211" customWidth="1"/>
    <col min="14" max="18" width="8.6328125" style="211"/>
    <col min="19" max="16384" width="8.6328125" style="208"/>
  </cols>
  <sheetData>
    <row r="1" spans="1:18" ht="13" thickBot="1" x14ac:dyDescent="0.3">
      <c r="A1" s="309"/>
      <c r="B1" s="736" t="s">
        <v>234</v>
      </c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</row>
    <row r="2" spans="1:18" ht="63" thickBot="1" x14ac:dyDescent="0.3">
      <c r="A2" s="310"/>
      <c r="B2" s="212"/>
      <c r="C2" s="209" t="s">
        <v>235</v>
      </c>
      <c r="D2" s="209" t="s">
        <v>208</v>
      </c>
      <c r="E2" s="209" t="s">
        <v>206</v>
      </c>
      <c r="F2" s="209" t="s">
        <v>236</v>
      </c>
      <c r="G2" s="209" t="s">
        <v>237</v>
      </c>
      <c r="H2" s="209" t="s">
        <v>238</v>
      </c>
      <c r="I2" s="209" t="s">
        <v>239</v>
      </c>
      <c r="J2" s="209" t="s">
        <v>209</v>
      </c>
      <c r="K2" s="209" t="s">
        <v>207</v>
      </c>
      <c r="L2" s="228" t="s">
        <v>240</v>
      </c>
      <c r="M2" s="210" t="s">
        <v>210</v>
      </c>
      <c r="N2" s="213"/>
    </row>
    <row r="3" spans="1:18" ht="25" x14ac:dyDescent="0.25">
      <c r="A3" s="311"/>
      <c r="B3" s="214" t="s">
        <v>241</v>
      </c>
      <c r="C3" s="215">
        <v>32.869999999999997</v>
      </c>
      <c r="D3" s="215">
        <v>739</v>
      </c>
      <c r="E3" s="216">
        <f>(118.7+144.3)*10^6</f>
        <v>263000000</v>
      </c>
      <c r="F3" s="215">
        <v>1.08</v>
      </c>
      <c r="G3" s="217">
        <v>156463000</v>
      </c>
      <c r="H3" s="215"/>
      <c r="I3" s="215"/>
      <c r="J3" s="217">
        <v>3887</v>
      </c>
      <c r="K3" s="215"/>
      <c r="L3" s="218" t="s">
        <v>242</v>
      </c>
      <c r="M3" s="215"/>
    </row>
    <row r="4" spans="1:18" ht="50" x14ac:dyDescent="0.25">
      <c r="B4" s="219" t="s">
        <v>39</v>
      </c>
      <c r="C4" s="220">
        <v>3.42</v>
      </c>
      <c r="D4" s="219">
        <v>27</v>
      </c>
      <c r="E4" s="221">
        <v>18558534</v>
      </c>
      <c r="F4" s="219">
        <v>3.07</v>
      </c>
      <c r="G4" s="221">
        <v>16430306</v>
      </c>
      <c r="H4" s="222" t="s">
        <v>243</v>
      </c>
      <c r="I4" s="222" t="s">
        <v>244</v>
      </c>
      <c r="J4" s="221">
        <v>203</v>
      </c>
      <c r="K4" s="219"/>
      <c r="L4" s="219">
        <v>144</v>
      </c>
      <c r="M4" s="219">
        <v>5</v>
      </c>
    </row>
    <row r="5" spans="1:18" ht="37.5" x14ac:dyDescent="0.25">
      <c r="B5" s="219" t="s">
        <v>35</v>
      </c>
      <c r="C5" s="220">
        <f>44212/10^5</f>
        <v>0.44212000000000001</v>
      </c>
      <c r="D5" s="219">
        <v>22</v>
      </c>
      <c r="E5" s="221">
        <f>16.17*10^5</f>
        <v>1617000.0000000002</v>
      </c>
      <c r="F5" s="219">
        <v>2.25</v>
      </c>
      <c r="G5" s="221">
        <v>3676000</v>
      </c>
      <c r="H5" s="223" t="s">
        <v>245</v>
      </c>
      <c r="I5" s="222" t="s">
        <v>246</v>
      </c>
      <c r="J5" s="221">
        <v>65</v>
      </c>
      <c r="K5" s="219"/>
      <c r="L5" s="219">
        <v>81</v>
      </c>
      <c r="M5" s="219"/>
    </row>
    <row r="6" spans="1:18" ht="50" x14ac:dyDescent="0.25">
      <c r="B6" s="219" t="s">
        <v>36</v>
      </c>
      <c r="C6" s="220">
        <v>3.08</v>
      </c>
      <c r="D6" s="219">
        <v>50</v>
      </c>
      <c r="E6" s="221">
        <f>(110.38+74.01)*10^5</f>
        <v>18439000</v>
      </c>
      <c r="F6" s="224">
        <v>2.2999999999999998</v>
      </c>
      <c r="G6" s="221">
        <f>203*10^5</f>
        <v>20300000</v>
      </c>
      <c r="H6" s="225" t="s">
        <v>247</v>
      </c>
      <c r="I6" s="223" t="s">
        <v>248</v>
      </c>
      <c r="J6" s="221">
        <v>103</v>
      </c>
      <c r="K6" s="219"/>
      <c r="L6" s="219">
        <v>80</v>
      </c>
      <c r="M6" s="219"/>
    </row>
    <row r="7" spans="1:18" ht="50" x14ac:dyDescent="0.25">
      <c r="B7" s="219" t="s">
        <v>37</v>
      </c>
      <c r="C7" s="220">
        <v>2.4</v>
      </c>
      <c r="D7" s="219">
        <v>75</v>
      </c>
      <c r="E7" s="221">
        <f>233.25*10^5</f>
        <v>23325000</v>
      </c>
      <c r="F7" s="219">
        <v>0.8</v>
      </c>
      <c r="G7" s="221">
        <f>19.218*10^6</f>
        <v>19218000</v>
      </c>
      <c r="H7" s="225" t="s">
        <v>249</v>
      </c>
      <c r="I7" s="219" t="s">
        <v>250</v>
      </c>
      <c r="J7" s="221">
        <v>180</v>
      </c>
      <c r="K7" s="219"/>
      <c r="L7" s="219">
        <v>250</v>
      </c>
      <c r="M7" s="219"/>
    </row>
    <row r="8" spans="1:18" ht="25" x14ac:dyDescent="0.25">
      <c r="B8" s="219" t="s">
        <v>34</v>
      </c>
      <c r="C8" s="220">
        <f>50362/10^5</f>
        <v>0.50361999999999996</v>
      </c>
      <c r="D8" s="219">
        <v>22</v>
      </c>
      <c r="E8" s="221">
        <v>1058000</v>
      </c>
      <c r="F8" s="219">
        <v>3.62</v>
      </c>
      <c r="G8" s="221">
        <f>7.442*10^6</f>
        <v>7442000</v>
      </c>
      <c r="H8" s="222" t="s">
        <v>251</v>
      </c>
      <c r="I8" s="222" t="s">
        <v>252</v>
      </c>
      <c r="J8" s="221">
        <v>149</v>
      </c>
      <c r="K8" s="219"/>
      <c r="L8" s="219">
        <v>37</v>
      </c>
      <c r="M8" s="219"/>
    </row>
    <row r="9" spans="1:18" x14ac:dyDescent="0.25">
      <c r="B9" s="226" t="s">
        <v>16</v>
      </c>
      <c r="C9" s="226"/>
      <c r="D9" s="226">
        <f>SUM(D4:D8)</f>
        <v>196</v>
      </c>
      <c r="E9" s="226">
        <f t="shared" ref="E9:M9" si="0">SUM(E4:E8)</f>
        <v>62997534</v>
      </c>
      <c r="F9" s="226"/>
      <c r="G9" s="226">
        <f>SUM(G4:G8)</f>
        <v>67066306</v>
      </c>
      <c r="H9" s="226">
        <f>SUM(H4:H8)</f>
        <v>0</v>
      </c>
      <c r="I9" s="226"/>
      <c r="J9" s="226">
        <f t="shared" si="0"/>
        <v>700</v>
      </c>
      <c r="K9" s="226">
        <f t="shared" si="0"/>
        <v>0</v>
      </c>
      <c r="L9" s="226">
        <f t="shared" si="0"/>
        <v>592</v>
      </c>
      <c r="M9" s="226">
        <f t="shared" si="0"/>
        <v>5</v>
      </c>
    </row>
    <row r="10" spans="1:18" x14ac:dyDescent="0.25">
      <c r="B10" s="227"/>
      <c r="C10" s="227"/>
      <c r="D10" s="227"/>
    </row>
    <row r="11" spans="1:18" x14ac:dyDescent="0.25">
      <c r="B11" s="211" t="s">
        <v>260</v>
      </c>
    </row>
    <row r="12" spans="1:18" s="30" customFormat="1" x14ac:dyDescent="0.25">
      <c r="B12" s="139" t="s">
        <v>253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</row>
    <row r="13" spans="1:18" s="30" customFormat="1" x14ac:dyDescent="0.25">
      <c r="B13" s="139" t="s">
        <v>254</v>
      </c>
      <c r="C13" s="139"/>
      <c r="D13" s="139"/>
      <c r="E13" s="139">
        <f>7.78+3.15+5.24</f>
        <v>16.170000000000002</v>
      </c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</row>
    <row r="14" spans="1:18" s="30" customFormat="1" x14ac:dyDescent="0.25">
      <c r="B14" s="139" t="s">
        <v>255</v>
      </c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</row>
    <row r="15" spans="1:18" s="30" customFormat="1" x14ac:dyDescent="0.25">
      <c r="B15" s="139" t="s">
        <v>256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</row>
    <row r="16" spans="1:18" s="30" customFormat="1" x14ac:dyDescent="0.25">
      <c r="B16" s="139" t="s">
        <v>257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</row>
    <row r="17" spans="1:18" s="30" customFormat="1" x14ac:dyDescent="0.25">
      <c r="B17" s="139" t="s">
        <v>258</v>
      </c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</row>
    <row r="18" spans="1:18" s="30" customFormat="1" x14ac:dyDescent="0.25">
      <c r="B18" s="139" t="s">
        <v>259</v>
      </c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</row>
    <row r="20" spans="1:18" ht="13" thickBot="1" x14ac:dyDescent="0.3">
      <c r="A20" s="309"/>
      <c r="B20" s="314"/>
      <c r="C20" s="314"/>
      <c r="D20" s="314"/>
    </row>
    <row r="21" spans="1:18" ht="14.5" customHeight="1" x14ac:dyDescent="0.25">
      <c r="A21" s="315"/>
      <c r="B21" s="739" t="s">
        <v>272</v>
      </c>
      <c r="C21" s="740"/>
      <c r="D21" s="741"/>
      <c r="E21" s="313"/>
      <c r="F21" s="312"/>
    </row>
    <row r="22" spans="1:18" x14ac:dyDescent="0.25">
      <c r="A22" s="316"/>
      <c r="D22" s="317"/>
      <c r="E22" s="213"/>
    </row>
    <row r="23" spans="1:18" ht="13" x14ac:dyDescent="0.3">
      <c r="A23" s="329"/>
      <c r="B23" s="742" t="s">
        <v>178</v>
      </c>
      <c r="C23" s="743"/>
      <c r="D23" s="744"/>
      <c r="E23" s="213"/>
    </row>
    <row r="24" spans="1:18" ht="13" x14ac:dyDescent="0.3">
      <c r="A24" s="329"/>
      <c r="B24" s="331"/>
      <c r="C24" s="332" t="s">
        <v>179</v>
      </c>
      <c r="D24" s="333"/>
      <c r="E24" s="213"/>
    </row>
    <row r="25" spans="1:18" ht="13" x14ac:dyDescent="0.3">
      <c r="A25" s="329"/>
      <c r="B25" s="331" t="s">
        <v>82</v>
      </c>
      <c r="C25" s="331" t="s">
        <v>180</v>
      </c>
      <c r="D25" s="334" t="s">
        <v>181</v>
      </c>
      <c r="E25" s="213"/>
    </row>
    <row r="26" spans="1:18" ht="13" x14ac:dyDescent="0.3">
      <c r="A26" s="329">
        <v>1</v>
      </c>
      <c r="B26" s="325" t="s">
        <v>182</v>
      </c>
      <c r="C26" s="326">
        <v>606218</v>
      </c>
      <c r="D26" s="330">
        <v>444379</v>
      </c>
      <c r="E26" s="213"/>
    </row>
    <row r="27" spans="1:18" ht="13" x14ac:dyDescent="0.3">
      <c r="A27" s="329">
        <v>2</v>
      </c>
      <c r="B27" s="327" t="s">
        <v>83</v>
      </c>
      <c r="C27" s="326">
        <v>778883</v>
      </c>
      <c r="D27" s="330">
        <v>1115663</v>
      </c>
      <c r="E27" s="213"/>
    </row>
    <row r="28" spans="1:18" ht="13" x14ac:dyDescent="0.3">
      <c r="A28" s="329">
        <v>3</v>
      </c>
      <c r="B28" s="325" t="s">
        <v>183</v>
      </c>
      <c r="C28" s="326">
        <v>298241</v>
      </c>
      <c r="D28" s="330">
        <v>745939</v>
      </c>
      <c r="E28" s="213"/>
    </row>
    <row r="29" spans="1:18" ht="13" x14ac:dyDescent="0.3">
      <c r="A29" s="329">
        <f>A28+1</f>
        <v>4</v>
      </c>
      <c r="B29" s="325" t="s">
        <v>184</v>
      </c>
      <c r="C29" s="326">
        <v>947904</v>
      </c>
      <c r="D29" s="330">
        <v>886956</v>
      </c>
      <c r="E29" s="213"/>
    </row>
    <row r="30" spans="1:18" ht="13" x14ac:dyDescent="0.3">
      <c r="A30" s="329">
        <f t="shared" ref="A30:A52" si="1">A29+1</f>
        <v>5</v>
      </c>
      <c r="B30" s="325" t="s">
        <v>185</v>
      </c>
      <c r="C30" s="326">
        <v>538568</v>
      </c>
      <c r="D30" s="330">
        <v>739888</v>
      </c>
      <c r="E30" s="213"/>
    </row>
    <row r="31" spans="1:18" ht="13" x14ac:dyDescent="0.3">
      <c r="A31" s="329">
        <f t="shared" si="1"/>
        <v>6</v>
      </c>
      <c r="B31" s="325" t="s">
        <v>186</v>
      </c>
      <c r="C31" s="326">
        <v>510976</v>
      </c>
      <c r="D31" s="330">
        <v>718220</v>
      </c>
      <c r="E31" s="213"/>
    </row>
    <row r="32" spans="1:18" ht="13" x14ac:dyDescent="0.3">
      <c r="A32" s="329">
        <f t="shared" si="1"/>
        <v>7</v>
      </c>
      <c r="B32" s="325" t="s">
        <v>187</v>
      </c>
      <c r="C32" s="326">
        <v>610854</v>
      </c>
      <c r="D32" s="330">
        <v>603056</v>
      </c>
      <c r="E32" s="213"/>
    </row>
    <row r="33" spans="1:5" ht="13" x14ac:dyDescent="0.3">
      <c r="A33" s="329">
        <f t="shared" si="1"/>
        <v>8</v>
      </c>
      <c r="B33" s="325" t="s">
        <v>188</v>
      </c>
      <c r="C33" s="326">
        <v>302348</v>
      </c>
      <c r="D33" s="330">
        <v>361841</v>
      </c>
      <c r="E33" s="213"/>
    </row>
    <row r="34" spans="1:5" ht="13" x14ac:dyDescent="0.3">
      <c r="A34" s="329">
        <f t="shared" si="1"/>
        <v>9</v>
      </c>
      <c r="B34" s="325" t="s">
        <v>189</v>
      </c>
      <c r="C34" s="326">
        <v>371924</v>
      </c>
      <c r="D34" s="330">
        <v>576670</v>
      </c>
      <c r="E34" s="213"/>
    </row>
    <row r="35" spans="1:5" ht="13" x14ac:dyDescent="0.3">
      <c r="A35" s="329">
        <f t="shared" si="1"/>
        <v>10</v>
      </c>
      <c r="B35" s="325" t="s">
        <v>190</v>
      </c>
      <c r="C35" s="326">
        <v>757936</v>
      </c>
      <c r="D35" s="330">
        <v>660627</v>
      </c>
      <c r="E35" s="213"/>
    </row>
    <row r="36" spans="1:5" ht="13" x14ac:dyDescent="0.3">
      <c r="A36" s="329">
        <f t="shared" si="1"/>
        <v>11</v>
      </c>
      <c r="B36" s="325" t="s">
        <v>191</v>
      </c>
      <c r="C36" s="326">
        <v>224138</v>
      </c>
      <c r="D36" s="330">
        <v>304278</v>
      </c>
      <c r="E36" s="213"/>
    </row>
    <row r="37" spans="1:5" ht="13" x14ac:dyDescent="0.3">
      <c r="A37" s="329">
        <f t="shared" si="1"/>
        <v>12</v>
      </c>
      <c r="B37" s="325" t="s">
        <v>192</v>
      </c>
      <c r="C37" s="326">
        <v>171086</v>
      </c>
      <c r="D37" s="330">
        <v>412179</v>
      </c>
      <c r="E37" s="213"/>
    </row>
    <row r="38" spans="1:5" ht="13" x14ac:dyDescent="0.3">
      <c r="A38" s="329">
        <f t="shared" si="1"/>
        <v>13</v>
      </c>
      <c r="B38" s="325" t="s">
        <v>193</v>
      </c>
      <c r="C38" s="326">
        <v>1519306</v>
      </c>
      <c r="D38" s="330">
        <v>1036020</v>
      </c>
      <c r="E38" s="213"/>
    </row>
    <row r="39" spans="1:5" ht="13" x14ac:dyDescent="0.3">
      <c r="A39" s="329">
        <f t="shared" si="1"/>
        <v>14</v>
      </c>
      <c r="B39" s="327" t="s">
        <v>176</v>
      </c>
      <c r="C39" s="326">
        <v>1297949</v>
      </c>
      <c r="D39" s="330">
        <v>1343134</v>
      </c>
      <c r="E39" s="213"/>
    </row>
    <row r="40" spans="1:5" ht="13" x14ac:dyDescent="0.3">
      <c r="A40" s="329">
        <f t="shared" si="1"/>
        <v>15</v>
      </c>
      <c r="B40" s="325" t="s">
        <v>194</v>
      </c>
      <c r="C40" s="326">
        <v>323464</v>
      </c>
      <c r="D40" s="330">
        <v>176338</v>
      </c>
      <c r="E40" s="213"/>
    </row>
    <row r="41" spans="1:5" ht="13" x14ac:dyDescent="0.3">
      <c r="A41" s="329">
        <f t="shared" si="1"/>
        <v>16</v>
      </c>
      <c r="B41" s="325" t="s">
        <v>195</v>
      </c>
      <c r="C41" s="326">
        <v>656615</v>
      </c>
      <c r="D41" s="330">
        <v>651368</v>
      </c>
      <c r="E41" s="213"/>
    </row>
    <row r="42" spans="1:5" ht="13" x14ac:dyDescent="0.3">
      <c r="A42" s="329">
        <f t="shared" si="1"/>
        <v>17</v>
      </c>
      <c r="B42" s="325" t="s">
        <v>196</v>
      </c>
      <c r="C42" s="326">
        <v>208127</v>
      </c>
      <c r="D42" s="330">
        <v>538486</v>
      </c>
      <c r="E42" s="213"/>
    </row>
    <row r="43" spans="1:5" ht="13" x14ac:dyDescent="0.3">
      <c r="A43" s="329">
        <f t="shared" si="1"/>
        <v>18</v>
      </c>
      <c r="B43" s="327" t="s">
        <v>197</v>
      </c>
      <c r="C43" s="326">
        <v>535682</v>
      </c>
      <c r="D43" s="330">
        <v>590570</v>
      </c>
      <c r="E43" s="213"/>
    </row>
    <row r="44" spans="1:5" ht="13" x14ac:dyDescent="0.3">
      <c r="A44" s="329">
        <f t="shared" si="1"/>
        <v>19</v>
      </c>
      <c r="B44" s="325" t="s">
        <v>198</v>
      </c>
      <c r="C44" s="326">
        <v>984317</v>
      </c>
      <c r="D44" s="330">
        <v>834387</v>
      </c>
      <c r="E44" s="213"/>
    </row>
    <row r="45" spans="1:5" ht="13" x14ac:dyDescent="0.3">
      <c r="A45" s="329">
        <f t="shared" si="1"/>
        <v>20</v>
      </c>
      <c r="B45" s="325" t="s">
        <v>199</v>
      </c>
      <c r="C45" s="326">
        <v>496804</v>
      </c>
      <c r="D45" s="330">
        <v>676829</v>
      </c>
      <c r="E45" s="213"/>
    </row>
    <row r="46" spans="1:5" ht="13" x14ac:dyDescent="0.3">
      <c r="A46" s="329">
        <f t="shared" si="1"/>
        <v>21</v>
      </c>
      <c r="B46" s="327" t="s">
        <v>200</v>
      </c>
      <c r="C46" s="326">
        <v>1032119</v>
      </c>
      <c r="D46" s="330">
        <v>998015</v>
      </c>
      <c r="E46" s="213"/>
    </row>
    <row r="47" spans="1:5" ht="13" x14ac:dyDescent="0.3">
      <c r="A47" s="329">
        <f t="shared" si="1"/>
        <v>22</v>
      </c>
      <c r="B47" s="325" t="s">
        <v>201</v>
      </c>
      <c r="C47" s="326">
        <v>601429</v>
      </c>
      <c r="D47" s="330">
        <v>480771</v>
      </c>
      <c r="E47" s="213"/>
    </row>
    <row r="48" spans="1:5" ht="13" x14ac:dyDescent="0.3">
      <c r="A48" s="329">
        <f t="shared" si="1"/>
        <v>23</v>
      </c>
      <c r="B48" s="327" t="s">
        <v>202</v>
      </c>
      <c r="C48" s="326">
        <v>700710</v>
      </c>
      <c r="D48" s="330">
        <v>852831</v>
      </c>
      <c r="E48" s="213"/>
    </row>
    <row r="49" spans="1:5" ht="13" x14ac:dyDescent="0.3">
      <c r="A49" s="329">
        <f t="shared" si="1"/>
        <v>24</v>
      </c>
      <c r="B49" s="327" t="s">
        <v>84</v>
      </c>
      <c r="C49" s="326">
        <v>591225</v>
      </c>
      <c r="D49" s="330">
        <v>589200</v>
      </c>
      <c r="E49" s="213"/>
    </row>
    <row r="50" spans="1:5" ht="13" x14ac:dyDescent="0.3">
      <c r="A50" s="329">
        <f t="shared" si="1"/>
        <v>25</v>
      </c>
      <c r="B50" s="325" t="s">
        <v>203</v>
      </c>
      <c r="C50" s="326">
        <v>185023</v>
      </c>
      <c r="D50" s="330">
        <v>221903</v>
      </c>
      <c r="E50" s="213"/>
    </row>
    <row r="51" spans="1:5" ht="13" x14ac:dyDescent="0.3">
      <c r="A51" s="329">
        <f t="shared" si="1"/>
        <v>26</v>
      </c>
      <c r="B51" s="327" t="s">
        <v>85</v>
      </c>
      <c r="C51" s="326">
        <v>601298</v>
      </c>
      <c r="D51" s="330">
        <v>439509</v>
      </c>
      <c r="E51" s="213"/>
    </row>
    <row r="52" spans="1:5" ht="13" x14ac:dyDescent="0.3">
      <c r="A52" s="329">
        <f t="shared" si="1"/>
        <v>27</v>
      </c>
      <c r="B52" s="325" t="s">
        <v>204</v>
      </c>
      <c r="C52" s="326">
        <v>577162</v>
      </c>
      <c r="D52" s="330">
        <v>1559477</v>
      </c>
      <c r="E52" s="213"/>
    </row>
    <row r="53" spans="1:5" ht="13.5" thickBot="1" x14ac:dyDescent="0.35">
      <c r="A53" s="328"/>
      <c r="B53" s="322" t="s">
        <v>16</v>
      </c>
      <c r="C53" s="323">
        <f>SUM(C26:C52)</f>
        <v>16430306</v>
      </c>
      <c r="D53" s="324">
        <f>SUM(D26:D52)</f>
        <v>18558534</v>
      </c>
      <c r="E53" s="213"/>
    </row>
    <row r="54" spans="1:5" ht="13.5" thickTop="1" x14ac:dyDescent="0.3">
      <c r="A54" s="318"/>
      <c r="B54" s="1"/>
      <c r="C54" s="320"/>
      <c r="D54" s="319"/>
      <c r="E54" s="213"/>
    </row>
    <row r="55" spans="1:5" ht="27.5" customHeight="1" thickBot="1" x14ac:dyDescent="0.3">
      <c r="A55" s="321"/>
      <c r="B55" s="737" t="s">
        <v>205</v>
      </c>
      <c r="C55" s="737"/>
      <c r="D55" s="738"/>
      <c r="E55" s="213"/>
    </row>
    <row r="56" spans="1:5" ht="13" x14ac:dyDescent="0.3">
      <c r="A56" s="165"/>
      <c r="B56" s="1"/>
      <c r="C56" s="1"/>
      <c r="D56" s="1"/>
      <c r="E56" s="1"/>
    </row>
  </sheetData>
  <mergeCells count="4">
    <mergeCell ref="B1:M1"/>
    <mergeCell ref="B55:D55"/>
    <mergeCell ref="B21:D21"/>
    <mergeCell ref="B23:D2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 Sheet</vt:lpstr>
      <vt:lpstr>Revenue_Sales Assumptions</vt:lpstr>
      <vt:lpstr>Profit&amp;Loss</vt:lpstr>
      <vt:lpstr>Balance Sheet</vt:lpstr>
      <vt:lpstr>CFS</vt:lpstr>
      <vt:lpstr>WC</vt:lpstr>
      <vt:lpstr>Depreciation Sch</vt:lpstr>
      <vt:lpstr>Loans Breakdown</vt:lpstr>
      <vt:lpstr>Historical P&amp;L</vt:lpstr>
      <vt:lpstr>Historical Metrics</vt:lpstr>
      <vt:lpstr>Valuation_Market Multiple</vt:lpstr>
      <vt:lpstr>Val_DCF</vt:lpstr>
      <vt:lpstr>Weighted Average Valuation</vt:lpstr>
      <vt:lpstr>Sheet1</vt:lpstr>
      <vt:lpstr>Districtwise_Rajasthan farmers</vt:lpstr>
      <vt:lpstr>Statewise_Agri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Jain</dc:creator>
  <cp:lastModifiedBy>Prachi Jain</cp:lastModifiedBy>
  <cp:lastPrinted>2020-04-28T05:32:36Z</cp:lastPrinted>
  <dcterms:created xsi:type="dcterms:W3CDTF">2015-06-05T18:17:20Z</dcterms:created>
  <dcterms:modified xsi:type="dcterms:W3CDTF">2025-12-29T10:20:10Z</dcterms:modified>
</cp:coreProperties>
</file>